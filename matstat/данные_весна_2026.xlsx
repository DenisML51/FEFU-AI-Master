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10" windowWidth="19140" windowHeight="8090" activeTab="3"/>
  </bookViews>
  <sheets>
    <sheet name="KA" sheetId="5" r:id="rId1"/>
    <sheet name="Cars" sheetId="6" r:id="rId2"/>
    <sheet name="Iris" sheetId="7" r:id="rId3"/>
    <sheet name="pop" sheetId="8" r:id="rId4"/>
  </sheets>
  <definedNames>
    <definedName name="Ch0" localSheetId="3">pop!$O$38</definedName>
    <definedName name="Ch1.1" localSheetId="3">pop!$O$56</definedName>
    <definedName name="Ch2.1" localSheetId="3">pop!$O$196</definedName>
    <definedName name="Ch2.10" localSheetId="3">pop!$O$616</definedName>
    <definedName name="Ch2.11" localSheetId="3">pop!$O$676</definedName>
    <definedName name="Ch2.12" localSheetId="3">pop!$O$713</definedName>
    <definedName name="Ch2.13" localSheetId="3">pop!$O$741</definedName>
    <definedName name="Ch2.2" localSheetId="3">pop!$O$235</definedName>
    <definedName name="Ch2.3" localSheetId="3">pop!$O$255</definedName>
    <definedName name="Ch2.4" localSheetId="3">pop!$O$279</definedName>
    <definedName name="Ch2.5" localSheetId="3">pop!$O$333</definedName>
    <definedName name="Ch2.6" localSheetId="3">pop!$O$365</definedName>
    <definedName name="Ch2.7" localSheetId="3">pop!$O$432</definedName>
    <definedName name="Ch2.8" localSheetId="3">pop!$O$548</definedName>
    <definedName name="Ch2.9" localSheetId="3">pop!$O$580</definedName>
    <definedName name="Ch3.1" localSheetId="3">pop!$O$774</definedName>
    <definedName name="Ch3.2" localSheetId="3">pop!$O$800</definedName>
    <definedName name="Contents" localSheetId="3">pop!$O$7</definedName>
  </definedNames>
  <calcPr calcId="144525"/>
</workbook>
</file>

<file path=xl/calcChain.xml><?xml version="1.0" encoding="utf-8"?>
<calcChain xmlns="http://schemas.openxmlformats.org/spreadsheetml/2006/main">
  <c r="B33" i="8" l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D13" i="5" l="1"/>
  <c r="D14" i="5" s="1"/>
  <c r="C13" i="5"/>
  <c r="C14" i="5" s="1"/>
  <c r="G8" i="5" s="1"/>
  <c r="B13" i="5"/>
  <c r="B14" i="5" s="1"/>
  <c r="D12" i="5"/>
  <c r="C12" i="5"/>
  <c r="B12" i="5"/>
  <c r="G11" i="5" l="1"/>
  <c r="F8" i="5"/>
  <c r="H10" i="5"/>
  <c r="H11" i="5"/>
  <c r="H8" i="5"/>
  <c r="F9" i="5"/>
  <c r="G9" i="5"/>
  <c r="H9" i="5"/>
  <c r="F7" i="5"/>
  <c r="G7" i="5"/>
  <c r="H7" i="5"/>
  <c r="F11" i="5"/>
  <c r="F10" i="5"/>
  <c r="G10" i="5"/>
  <c r="O8" i="5" l="1"/>
  <c r="L7" i="5"/>
  <c r="G13" i="5"/>
  <c r="G12" i="5"/>
  <c r="O10" i="5"/>
  <c r="H13" i="5"/>
  <c r="H12" i="5"/>
  <c r="N7" i="5"/>
  <c r="M7" i="5"/>
  <c r="F12" i="5"/>
  <c r="O7" i="5"/>
  <c r="F13" i="5"/>
  <c r="M8" i="5"/>
  <c r="O9" i="5"/>
  <c r="N9" i="5"/>
  <c r="N8" i="5"/>
</calcChain>
</file>

<file path=xl/sharedStrings.xml><?xml version="1.0" encoding="utf-8"?>
<sst xmlns="http://schemas.openxmlformats.org/spreadsheetml/2006/main" count="91" uniqueCount="76">
  <si>
    <t>5 фирм, 3 переменные:</t>
  </si>
  <si>
    <t>х1 - средняя величина оборотных средств (млн. руб)</t>
  </si>
  <si>
    <t>х2 - метариальные затраты на 1 руб. произведённой продукции (коп.)</t>
  </si>
  <si>
    <t>х3 - объём произведённой продукции (млн. руб)</t>
  </si>
  <si>
    <t>D0</t>
  </si>
  <si>
    <t>х1</t>
  </si>
  <si>
    <t>х2</t>
  </si>
  <si>
    <t>х3</t>
  </si>
  <si>
    <t>среднее</t>
  </si>
  <si>
    <t>дисперсия</t>
  </si>
  <si>
    <t>ст. откл</t>
  </si>
  <si>
    <t>PRICE</t>
  </si>
  <si>
    <t>ACCELERATION</t>
  </si>
  <si>
    <t>BRAKING</t>
  </si>
  <si>
    <t>HANDLING</t>
  </si>
  <si>
    <t>MILEAGE</t>
  </si>
  <si>
    <t>PRICE (Approximate Price)</t>
  </si>
  <si>
    <t xml:space="preserve">Acura           </t>
  </si>
  <si>
    <t>ACCELERATION (Acceleration)</t>
  </si>
  <si>
    <t xml:space="preserve">Audi            </t>
  </si>
  <si>
    <t>BRAKING (Breaking from 80 mph)</t>
  </si>
  <si>
    <t xml:space="preserve">BMW             </t>
  </si>
  <si>
    <t>HANDLING (Road holding index)</t>
  </si>
  <si>
    <t xml:space="preserve">Buick           </t>
  </si>
  <si>
    <t>MILEAGE (Miles per gallon)</t>
  </si>
  <si>
    <t xml:space="preserve">Corvette        </t>
  </si>
  <si>
    <t xml:space="preserve">Chrysler        </t>
  </si>
  <si>
    <t xml:space="preserve">Dodge           </t>
  </si>
  <si>
    <t xml:space="preserve">Eagle           </t>
  </si>
  <si>
    <t xml:space="preserve">Ford            </t>
  </si>
  <si>
    <t xml:space="preserve">Honda           </t>
  </si>
  <si>
    <t xml:space="preserve">Isuzu           </t>
  </si>
  <si>
    <t xml:space="preserve">Mazda           </t>
  </si>
  <si>
    <t xml:space="preserve">Mercedes        </t>
  </si>
  <si>
    <t xml:space="preserve">Mitsub.         </t>
  </si>
  <si>
    <t xml:space="preserve">Nissan          </t>
  </si>
  <si>
    <t xml:space="preserve">Olds            </t>
  </si>
  <si>
    <t xml:space="preserve">Pontiac         </t>
  </si>
  <si>
    <t xml:space="preserve">Porsche         </t>
  </si>
  <si>
    <t xml:space="preserve">Saab            </t>
  </si>
  <si>
    <t xml:space="preserve">Toyota          </t>
  </si>
  <si>
    <t xml:space="preserve">VW              </t>
  </si>
  <si>
    <t xml:space="preserve">Volvo           </t>
  </si>
  <si>
    <t>D1</t>
  </si>
  <si>
    <t>D2</t>
  </si>
  <si>
    <t>D3</t>
  </si>
  <si>
    <t>S</t>
  </si>
  <si>
    <t>Sepal.Length</t>
  </si>
  <si>
    <t>Sepal.Width</t>
  </si>
  <si>
    <t>Petal.Length</t>
  </si>
  <si>
    <t>Petal.Width</t>
  </si>
  <si>
    <t>S (*)</t>
  </si>
  <si>
    <t>SR</t>
  </si>
  <si>
    <t>Height</t>
  </si>
  <si>
    <t>Weight</t>
  </si>
  <si>
    <t>Shoes</t>
  </si>
  <si>
    <t>Strength</t>
  </si>
  <si>
    <t>Age</t>
  </si>
  <si>
    <t>IQ</t>
  </si>
  <si>
    <t>Income</t>
  </si>
  <si>
    <t>Beer</t>
  </si>
  <si>
    <t>Wine</t>
  </si>
  <si>
    <t>Sex</t>
  </si>
  <si>
    <t>Region</t>
  </si>
  <si>
    <t>32 человека, из которых 16 представляют Северную Европу (Скандинавия) и столько же – Южную (Средиземноморье). Для баланса выбрано одинаковое количество мужчин и женщин – по 16 человек</t>
  </si>
  <si>
    <r>
      <t>Height </t>
    </r>
    <r>
      <rPr>
        <sz val="10"/>
        <rFont val="NTTierce"/>
        <charset val="204"/>
      </rPr>
      <t>Рост: в сантиметрах</t>
    </r>
    <r>
      <rPr>
        <i/>
        <sz val="10"/>
        <rFont val="NTTierce"/>
        <charset val="204"/>
      </rPr>
      <t/>
    </r>
  </si>
  <si>
    <t>Weight Вес: в килограммах</t>
  </si>
  <si>
    <t>Shoes Обувь: размер по европейскому стандарту</t>
  </si>
  <si>
    <t>Age Возраст: в годах</t>
  </si>
  <si>
    <t>Income Доход: в тысячах евро в год</t>
  </si>
  <si>
    <t>Beer Пиво: потребление в литрах в год</t>
  </si>
  <si>
    <t>Wine Вино: потребление в литрах в год</t>
  </si>
  <si>
    <t>Sex Пол: мужской: 0, или женский: 1</t>
  </si>
  <si>
    <t>Strength Сила: индекс, основанный на проверке физических способностей</t>
  </si>
  <si>
    <t>Region Регион: север : –1, или юг: +1</t>
  </si>
  <si>
    <t>IQ: Коэффициент интеллекта, измеряемый по стандартному тесту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</si>
</sst>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NTTierce"/>
      <charset val="204"/>
    </font>
    <font>
      <sz val="8"/>
      <name val="Arial"/>
      <family val="2"/>
      <charset val="204"/>
    </font>
    <font>
      <sz val="10"/>
      <name val="Symbol"/>
      <family val="1"/>
      <charset val="2"/>
    </font>
    <font>
      <sz val="10"/>
      <color rgb="FF000000"/>
      <name val="Lucida Console"/>
      <family val="3"/>
      <charset val="204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sz val="14"/>
      <color rgb="FF000000"/>
      <name val="Times New Roman"/>
      <family val="1"/>
      <charset val="204"/>
    </font>
    <font>
      <i/>
      <sz val="10"/>
      <name val="NTTierce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4" borderId="0" xfId="0" applyFill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1" xfId="0" applyBorder="1"/>
    <xf numFmtId="0" fontId="3" fillId="2" borderId="0" xfId="0" applyFont="1" applyFill="1" applyAlignment="1">
      <alignment vertical="center"/>
    </xf>
    <xf numFmtId="0" fontId="1" fillId="0" borderId="0" xfId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0" xfId="1" applyFont="1"/>
    <xf numFmtId="0" fontId="1" fillId="0" borderId="3" xfId="1" applyNumberFormat="1" applyFill="1" applyBorder="1"/>
    <xf numFmtId="0" fontId="1" fillId="0" borderId="4" xfId="1" applyNumberFormat="1" applyFill="1" applyBorder="1"/>
    <xf numFmtId="0" fontId="1" fillId="0" borderId="5" xfId="1" applyNumberFormat="1" applyFill="1" applyBorder="1"/>
    <xf numFmtId="0" fontId="6" fillId="0" borderId="0" xfId="0" applyFont="1"/>
    <xf numFmtId="0" fontId="1" fillId="0" borderId="6" xfId="1" applyNumberFormat="1" applyFill="1" applyBorder="1"/>
    <xf numFmtId="0" fontId="1" fillId="0" borderId="0" xfId="1" applyNumberFormat="1" applyFill="1" applyBorder="1"/>
    <xf numFmtId="0" fontId="1" fillId="0" borderId="7" xfId="1" applyNumberFormat="1" applyFill="1" applyBorder="1"/>
    <xf numFmtId="0" fontId="7" fillId="0" borderId="0" xfId="0" applyFont="1"/>
    <xf numFmtId="0" fontId="1" fillId="0" borderId="8" xfId="1" applyNumberFormat="1" applyFill="1" applyBorder="1"/>
    <xf numFmtId="0" fontId="1" fillId="0" borderId="2" xfId="1" applyNumberFormat="1" applyFill="1" applyBorder="1"/>
    <xf numFmtId="0" fontId="1" fillId="0" borderId="9" xfId="1" applyNumberFormat="1" applyFill="1" applyBorder="1"/>
    <xf numFmtId="0" fontId="0" fillId="0" borderId="0" xfId="0" applyBorder="1"/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A10" workbookViewId="0">
      <selection activeCell="AC13" sqref="AC13:AH34"/>
    </sheetView>
  </sheetViews>
  <sheetFormatPr defaultRowHeight="12.5"/>
  <cols>
    <col min="1" max="1" width="9.7265625" customWidth="1"/>
    <col min="7" max="7" width="7" customWidth="1"/>
  </cols>
  <sheetData>
    <row r="1" spans="1:34">
      <c r="A1" t="s">
        <v>0</v>
      </c>
    </row>
    <row r="2" spans="1:34">
      <c r="A2" t="s">
        <v>1</v>
      </c>
    </row>
    <row r="3" spans="1:34">
      <c r="A3" t="s">
        <v>2</v>
      </c>
    </row>
    <row r="4" spans="1:34">
      <c r="A4" t="s">
        <v>3</v>
      </c>
    </row>
    <row r="5" spans="1:34">
      <c r="K5" s="24" t="s">
        <v>4</v>
      </c>
      <c r="L5" s="24"/>
      <c r="M5" s="24"/>
      <c r="N5" s="24"/>
      <c r="O5" s="24"/>
    </row>
    <row r="6" spans="1:34">
      <c r="B6" t="s">
        <v>5</v>
      </c>
      <c r="C6" t="s">
        <v>6</v>
      </c>
      <c r="D6" t="s">
        <v>7</v>
      </c>
      <c r="F6" t="s">
        <v>5</v>
      </c>
      <c r="G6" t="s">
        <v>6</v>
      </c>
      <c r="H6" t="s">
        <v>7</v>
      </c>
      <c r="K6">
        <v>1</v>
      </c>
      <c r="L6">
        <v>2</v>
      </c>
      <c r="M6">
        <v>3</v>
      </c>
      <c r="N6">
        <v>4</v>
      </c>
      <c r="O6">
        <v>5</v>
      </c>
    </row>
    <row r="7" spans="1:34">
      <c r="A7">
        <v>1</v>
      </c>
      <c r="B7">
        <v>130</v>
      </c>
      <c r="C7">
        <v>90</v>
      </c>
      <c r="D7">
        <v>165</v>
      </c>
      <c r="F7">
        <f>(B7-B$12)/B$14</f>
        <v>0.93229444508203896</v>
      </c>
      <c r="G7">
        <f>(C7-C$12)/C$14</f>
        <v>1.4472246207490969</v>
      </c>
      <c r="H7">
        <f>(D7-D$12)/D$14</f>
        <v>1.6846391452693232</v>
      </c>
      <c r="J7">
        <v>1</v>
      </c>
      <c r="K7">
        <v>0</v>
      </c>
      <c r="L7">
        <f>SQRT(($F$7-F8)^2+($G$7-G8)^2+($H$7-H8)^2)</f>
        <v>3.1525441656775515</v>
      </c>
      <c r="M7">
        <f>SQRT(($F$7-F9)^2+($G$7-G9)^2+($H$7-H9)^2)</f>
        <v>2.2842895165477231</v>
      </c>
      <c r="N7">
        <f>SQRT(($F7-F10)^2+(G$7-G10)^2+(H$7-H10)^2)</f>
        <v>3.4396192281481661</v>
      </c>
      <c r="O7">
        <f>SQRT(($F$7-F11)^2+($G$7-G11)^2+($H$7-H11)^2)</f>
        <v>3.7444240783371163</v>
      </c>
    </row>
    <row r="8" spans="1:34">
      <c r="A8">
        <v>2</v>
      </c>
      <c r="B8">
        <v>80</v>
      </c>
      <c r="C8">
        <v>75</v>
      </c>
      <c r="D8">
        <v>90</v>
      </c>
      <c r="F8">
        <f>(B8-B$12)/$B$14</f>
        <v>-0.43872679768566536</v>
      </c>
      <c r="G8">
        <f t="shared" ref="G8:H11" si="0">(C8-C$12)/C$14</f>
        <v>-0.27566183252363829</v>
      </c>
      <c r="H8">
        <f t="shared" si="0"/>
        <v>-0.57157399571637746</v>
      </c>
      <c r="J8">
        <v>2</v>
      </c>
      <c r="L8">
        <v>0</v>
      </c>
      <c r="M8">
        <f>SQRT(($F$9-F8)^2+($G$9-G8)^2+($H$9-H8)^2)</f>
        <v>1.768355156149316</v>
      </c>
      <c r="N8">
        <f>SQRT(($F8-$F10)^2+($G8-$G10)^2+($H8-$H10)^2)</f>
        <v>0.42294008986921094</v>
      </c>
      <c r="O8">
        <f>SQRT(($F8-$F11)^2+($G8-$G11)^2+($H8-$H11)^2)</f>
        <v>1.3158056136979148</v>
      </c>
    </row>
    <row r="9" spans="1:34">
      <c r="A9">
        <v>3</v>
      </c>
      <c r="B9">
        <v>140</v>
      </c>
      <c r="C9">
        <v>80</v>
      </c>
      <c r="D9">
        <v>100</v>
      </c>
      <c r="F9">
        <f>(B9-B$12)/$B$14</f>
        <v>1.2064986936355797</v>
      </c>
      <c r="G9">
        <f t="shared" si="0"/>
        <v>0.29863365190060676</v>
      </c>
      <c r="H9">
        <f t="shared" si="0"/>
        <v>-0.2707455769182841</v>
      </c>
      <c r="J9">
        <v>3</v>
      </c>
      <c r="M9">
        <v>0</v>
      </c>
      <c r="N9">
        <f>SQRT(($F9-$F10)^2+($G9-$G10)^2+($H9-$H10)^2)</f>
        <v>2.0633185092799615</v>
      </c>
      <c r="O9">
        <f>SQRT(($F9-$F11)^2+($G9-$G11)^2+($H9-$H11)^2)</f>
        <v>2.7364721434058747</v>
      </c>
    </row>
    <row r="10" spans="1:34">
      <c r="A10">
        <v>4</v>
      </c>
      <c r="B10">
        <v>70</v>
      </c>
      <c r="C10">
        <v>76</v>
      </c>
      <c r="D10">
        <v>80</v>
      </c>
      <c r="F10">
        <f t="shared" ref="F10:F11" si="1">(B10-B$12)/$B$14</f>
        <v>-0.71293104623920622</v>
      </c>
      <c r="G10">
        <f t="shared" si="0"/>
        <v>-0.16080273563878927</v>
      </c>
      <c r="H10">
        <f t="shared" si="0"/>
        <v>-0.87240241451447087</v>
      </c>
      <c r="J10">
        <v>4</v>
      </c>
      <c r="N10">
        <v>0</v>
      </c>
      <c r="O10">
        <f>SQRT(($F10-$F11)^2+($G10-$G11)^2+($H10-$H11)^2)</f>
        <v>1.4862465547997665</v>
      </c>
    </row>
    <row r="11" spans="1:34">
      <c r="A11">
        <v>5</v>
      </c>
      <c r="B11">
        <v>60</v>
      </c>
      <c r="C11">
        <v>66</v>
      </c>
      <c r="D11">
        <v>110</v>
      </c>
      <c r="F11">
        <f t="shared" si="1"/>
        <v>-0.98713529479274709</v>
      </c>
      <c r="G11">
        <f t="shared" si="0"/>
        <v>-1.3093937044872794</v>
      </c>
      <c r="H11">
        <f t="shared" si="0"/>
        <v>3.0082841879809342E-2</v>
      </c>
      <c r="J11">
        <v>5</v>
      </c>
      <c r="O11">
        <v>0</v>
      </c>
    </row>
    <row r="12" spans="1:34">
      <c r="A12" t="s">
        <v>8</v>
      </c>
      <c r="B12">
        <f>AVERAGE(B7:B11)</f>
        <v>96</v>
      </c>
      <c r="C12">
        <f>AVERAGE(C7:C11)</f>
        <v>77.400000000000006</v>
      </c>
      <c r="D12">
        <f t="shared" ref="D12" si="2">AVERAGE(D7:D11)</f>
        <v>109</v>
      </c>
      <c r="F12">
        <f>AVERAGE(F7:F11)</f>
        <v>0</v>
      </c>
      <c r="G12">
        <f t="shared" ref="G12:H12" si="3">AVERAGE(G7:G11)</f>
        <v>-7.1054273576010023E-16</v>
      </c>
      <c r="H12">
        <f t="shared" si="3"/>
        <v>4.0245584642661923E-17</v>
      </c>
    </row>
    <row r="13" spans="1:34">
      <c r="A13" t="s">
        <v>9</v>
      </c>
      <c r="B13">
        <f>_xlfn.VAR.S(B7:B11)</f>
        <v>1330</v>
      </c>
      <c r="C13">
        <f t="shared" ref="C13:D13" si="4">_xlfn.VAR.S(C7:C11)</f>
        <v>75.800000000000182</v>
      </c>
      <c r="D13">
        <f t="shared" si="4"/>
        <v>1105</v>
      </c>
      <c r="F13">
        <f>_xlfn.VAR.S(F7:F11)</f>
        <v>0.99999999999999989</v>
      </c>
      <c r="G13">
        <f t="shared" ref="G13:H13" si="5">_xlfn.VAR.S(G7:G11)</f>
        <v>0.99999999999999734</v>
      </c>
      <c r="H13">
        <f t="shared" si="5"/>
        <v>1.0000000000000002</v>
      </c>
      <c r="K13" s="24" t="s">
        <v>43</v>
      </c>
      <c r="L13" s="24"/>
      <c r="M13" s="24"/>
      <c r="N13" s="24"/>
      <c r="O13" s="24"/>
      <c r="AC13" s="25"/>
      <c r="AD13" s="26"/>
      <c r="AE13" s="26"/>
      <c r="AF13" s="26"/>
      <c r="AG13" s="26"/>
      <c r="AH13" s="26"/>
    </row>
    <row r="14" spans="1:34">
      <c r="A14" t="s">
        <v>10</v>
      </c>
      <c r="B14">
        <f>SQRT(B13)</f>
        <v>36.469165057620941</v>
      </c>
      <c r="C14">
        <f t="shared" ref="C14:D14" si="6">SQRT(C13)</f>
        <v>8.7063195438715777</v>
      </c>
      <c r="D14">
        <f t="shared" si="6"/>
        <v>33.241540277189323</v>
      </c>
      <c r="K14">
        <v>1</v>
      </c>
      <c r="L14">
        <v>24</v>
      </c>
      <c r="M14">
        <v>3</v>
      </c>
      <c r="N14">
        <v>5</v>
      </c>
      <c r="O14" s="23"/>
      <c r="AC14" s="25"/>
      <c r="AD14" s="25"/>
      <c r="AE14" s="25"/>
      <c r="AF14" s="25"/>
      <c r="AG14" s="25"/>
      <c r="AH14" s="25"/>
    </row>
    <row r="15" spans="1:34">
      <c r="J15">
        <v>1</v>
      </c>
      <c r="K15">
        <v>0</v>
      </c>
      <c r="L15">
        <v>3.44</v>
      </c>
      <c r="M15">
        <v>2.2799999999999998</v>
      </c>
      <c r="N15">
        <v>3.7</v>
      </c>
      <c r="AC15" s="25"/>
      <c r="AD15" s="25"/>
      <c r="AE15" s="25"/>
      <c r="AF15" s="25"/>
      <c r="AG15" s="25"/>
      <c r="AH15" s="25"/>
    </row>
    <row r="16" spans="1:34">
      <c r="B16">
        <v>24</v>
      </c>
      <c r="C16">
        <v>245</v>
      </c>
      <c r="D16">
        <v>13</v>
      </c>
      <c r="E16">
        <v>13245</v>
      </c>
      <c r="J16">
        <v>24</v>
      </c>
      <c r="L16">
        <v>0</v>
      </c>
      <c r="M16">
        <v>2.06</v>
      </c>
      <c r="N16">
        <v>1.49</v>
      </c>
      <c r="AC16" s="25"/>
      <c r="AD16" s="25"/>
      <c r="AE16" s="25"/>
      <c r="AF16" s="25"/>
      <c r="AG16" s="25"/>
      <c r="AH16" s="25"/>
    </row>
    <row r="17" spans="2:34">
      <c r="B17">
        <v>0.42</v>
      </c>
      <c r="C17">
        <v>1.49</v>
      </c>
      <c r="D17">
        <v>2.2799999999999998</v>
      </c>
      <c r="E17">
        <v>3.7</v>
      </c>
      <c r="J17">
        <v>3</v>
      </c>
      <c r="M17">
        <v>0</v>
      </c>
      <c r="N17">
        <v>2.7364721434058747</v>
      </c>
      <c r="AC17" s="25"/>
      <c r="AD17" s="25"/>
      <c r="AE17" s="25"/>
      <c r="AF17" s="25"/>
      <c r="AG17" s="25"/>
      <c r="AH17" s="25"/>
    </row>
    <row r="18" spans="2:34">
      <c r="J18">
        <v>5</v>
      </c>
      <c r="N18">
        <v>0</v>
      </c>
      <c r="AC18" s="25"/>
      <c r="AD18" s="25"/>
      <c r="AE18" s="25"/>
      <c r="AF18" s="25"/>
      <c r="AG18" s="25"/>
      <c r="AH18" s="25"/>
    </row>
    <row r="19" spans="2:34">
      <c r="AC19" s="25"/>
      <c r="AD19" s="25"/>
      <c r="AE19" s="25"/>
      <c r="AF19" s="25"/>
      <c r="AG19" s="25"/>
      <c r="AH19" s="25"/>
    </row>
    <row r="20" spans="2:34">
      <c r="K20" s="24" t="s">
        <v>44</v>
      </c>
      <c r="L20" s="24"/>
      <c r="M20" s="24"/>
      <c r="N20" s="24"/>
      <c r="O20" s="24"/>
      <c r="AC20" s="25"/>
      <c r="AD20" s="25"/>
      <c r="AE20" s="25"/>
      <c r="AF20" s="25"/>
      <c r="AG20" s="25"/>
      <c r="AH20" s="25"/>
    </row>
    <row r="21" spans="2:34">
      <c r="K21">
        <v>1</v>
      </c>
      <c r="L21">
        <v>245</v>
      </c>
      <c r="M21">
        <v>3</v>
      </c>
      <c r="O21" s="23"/>
      <c r="AC21" s="25"/>
      <c r="AD21" s="26"/>
      <c r="AE21" s="26"/>
      <c r="AF21" s="26"/>
      <c r="AG21" s="26"/>
      <c r="AH21" s="26"/>
    </row>
    <row r="22" spans="2:34">
      <c r="J22">
        <v>1</v>
      </c>
      <c r="K22">
        <v>0</v>
      </c>
      <c r="L22">
        <v>3.7</v>
      </c>
      <c r="M22">
        <v>2.2799999999999998</v>
      </c>
      <c r="AC22" s="25"/>
      <c r="AD22" s="25"/>
      <c r="AE22" s="25"/>
      <c r="AF22" s="25"/>
      <c r="AG22" s="25"/>
      <c r="AH22" s="25"/>
    </row>
    <row r="23" spans="2:34">
      <c r="J23">
        <v>245</v>
      </c>
      <c r="L23">
        <v>0</v>
      </c>
      <c r="M23">
        <v>2.7</v>
      </c>
      <c r="AC23" s="25"/>
      <c r="AD23" s="25"/>
      <c r="AE23" s="25"/>
      <c r="AF23" s="25"/>
      <c r="AG23" s="25"/>
      <c r="AH23" s="25"/>
    </row>
    <row r="24" spans="2:34">
      <c r="J24">
        <v>3</v>
      </c>
      <c r="M24">
        <v>0</v>
      </c>
      <c r="AC24" s="25"/>
      <c r="AD24" s="25"/>
      <c r="AE24" s="25"/>
      <c r="AF24" s="25"/>
      <c r="AG24" s="25"/>
      <c r="AH24" s="25"/>
    </row>
    <row r="25" spans="2:34">
      <c r="AC25" s="25"/>
      <c r="AD25" s="25"/>
      <c r="AE25" s="25"/>
      <c r="AF25" s="25"/>
      <c r="AG25" s="25"/>
      <c r="AH25" s="25"/>
    </row>
    <row r="26" spans="2:34">
      <c r="K26" s="24" t="s">
        <v>45</v>
      </c>
      <c r="L26" s="24"/>
      <c r="M26" s="24"/>
      <c r="N26" s="24"/>
      <c r="O26" s="24"/>
      <c r="AC26" s="25"/>
      <c r="AD26" s="25"/>
      <c r="AE26" s="25"/>
      <c r="AF26" s="25"/>
      <c r="AG26" s="25"/>
      <c r="AH26" s="25"/>
    </row>
    <row r="27" spans="2:34">
      <c r="K27">
        <v>13</v>
      </c>
      <c r="L27">
        <v>245</v>
      </c>
      <c r="O27" s="23"/>
      <c r="AC27" s="25"/>
      <c r="AD27" s="26"/>
      <c r="AE27" s="26"/>
      <c r="AF27" s="26"/>
      <c r="AG27" s="26"/>
      <c r="AH27" s="26"/>
    </row>
    <row r="28" spans="2:34">
      <c r="J28">
        <v>13</v>
      </c>
      <c r="K28">
        <v>0</v>
      </c>
      <c r="L28">
        <v>3.7</v>
      </c>
      <c r="AC28" s="25"/>
      <c r="AD28" s="25"/>
      <c r="AE28" s="25"/>
      <c r="AF28" s="25"/>
      <c r="AG28" s="25"/>
      <c r="AH28" s="25"/>
    </row>
    <row r="29" spans="2:34">
      <c r="J29">
        <v>245</v>
      </c>
      <c r="L29">
        <v>0</v>
      </c>
      <c r="AC29" s="25"/>
      <c r="AD29" s="25"/>
      <c r="AE29" s="25"/>
      <c r="AF29" s="25"/>
      <c r="AG29" s="25"/>
      <c r="AH29" s="25"/>
    </row>
    <row r="30" spans="2:34">
      <c r="AC30" s="25"/>
      <c r="AD30" s="25"/>
      <c r="AE30" s="25"/>
      <c r="AF30" s="25"/>
      <c r="AG30" s="25"/>
      <c r="AH30" s="25"/>
    </row>
    <row r="31" spans="2:34">
      <c r="AC31" s="25"/>
      <c r="AD31" s="25"/>
      <c r="AE31" s="25"/>
      <c r="AF31" s="25"/>
      <c r="AG31" s="25"/>
      <c r="AH31" s="25"/>
    </row>
    <row r="32" spans="2:34">
      <c r="AC32" s="25"/>
      <c r="AD32" s="25"/>
      <c r="AE32" s="25"/>
      <c r="AF32" s="25"/>
      <c r="AG32" s="25"/>
      <c r="AH32" s="25"/>
    </row>
    <row r="33" spans="29:34">
      <c r="AC33" s="25"/>
      <c r="AD33" s="25"/>
      <c r="AE33" s="25"/>
      <c r="AF33" s="25"/>
      <c r="AG33" s="25"/>
      <c r="AH33" s="25"/>
    </row>
    <row r="34" spans="29:34">
      <c r="AC34" s="25"/>
      <c r="AD34" s="25"/>
      <c r="AE34" s="25"/>
      <c r="AF34" s="25"/>
      <c r="AG34" s="25"/>
      <c r="AH34" s="25"/>
    </row>
  </sheetData>
  <mergeCells count="7">
    <mergeCell ref="K5:O5"/>
    <mergeCell ref="AD13:AH13"/>
    <mergeCell ref="AD21:AH21"/>
    <mergeCell ref="AD27:AH27"/>
    <mergeCell ref="K13:O13"/>
    <mergeCell ref="K20:O20"/>
    <mergeCell ref="K26:O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G26" sqref="G26"/>
    </sheetView>
  </sheetViews>
  <sheetFormatPr defaultRowHeight="12.5"/>
  <sheetData>
    <row r="1" spans="1:11">
      <c r="B1" t="s">
        <v>11</v>
      </c>
      <c r="C1" t="s">
        <v>12</v>
      </c>
      <c r="D1" t="s">
        <v>13</v>
      </c>
      <c r="E1" t="s">
        <v>14</v>
      </c>
      <c r="F1" t="s">
        <v>15</v>
      </c>
      <c r="H1" s="1" t="s">
        <v>16</v>
      </c>
      <c r="I1" s="1"/>
      <c r="J1" s="1"/>
      <c r="K1" s="1"/>
    </row>
    <row r="2" spans="1:11">
      <c r="A2" t="s">
        <v>17</v>
      </c>
      <c r="B2">
        <v>-0.52107199999999998</v>
      </c>
      <c r="C2">
        <v>0.47725299999999998</v>
      </c>
      <c r="D2">
        <v>-6.5709999999999996E-3</v>
      </c>
      <c r="E2">
        <v>0.38161899999999999</v>
      </c>
      <c r="F2">
        <v>2.078754</v>
      </c>
      <c r="H2" s="1" t="s">
        <v>18</v>
      </c>
      <c r="I2" s="1"/>
      <c r="J2" s="1"/>
      <c r="K2" s="1"/>
    </row>
    <row r="3" spans="1:11">
      <c r="A3" t="s">
        <v>19</v>
      </c>
      <c r="B3">
        <v>0.86565199999999998</v>
      </c>
      <c r="C3">
        <v>0.208033</v>
      </c>
      <c r="D3">
        <v>0.31869500000000001</v>
      </c>
      <c r="E3">
        <v>-9.1373999999999997E-2</v>
      </c>
      <c r="F3">
        <v>-0.67706200000000005</v>
      </c>
      <c r="H3" s="1" t="s">
        <v>20</v>
      </c>
      <c r="I3" s="1"/>
      <c r="J3" s="1"/>
      <c r="K3" s="1"/>
    </row>
    <row r="4" spans="1:11">
      <c r="A4" t="s">
        <v>21</v>
      </c>
      <c r="B4">
        <v>0.49585899999999999</v>
      </c>
      <c r="C4">
        <v>-0.80154000000000003</v>
      </c>
      <c r="D4">
        <v>0.19220300000000001</v>
      </c>
      <c r="E4">
        <v>-9.1373999999999997E-2</v>
      </c>
      <c r="F4">
        <v>-0.153806</v>
      </c>
      <c r="H4" s="1" t="s">
        <v>22</v>
      </c>
      <c r="I4" s="1"/>
      <c r="J4" s="1"/>
      <c r="K4" s="1"/>
    </row>
    <row r="5" spans="1:11">
      <c r="A5" t="s">
        <v>23</v>
      </c>
      <c r="B5">
        <v>-0.61352099999999998</v>
      </c>
      <c r="C5">
        <v>1.6887399999999999</v>
      </c>
      <c r="D5">
        <v>0.933087</v>
      </c>
      <c r="E5">
        <v>-0.209622</v>
      </c>
      <c r="F5">
        <v>-0.153806</v>
      </c>
      <c r="H5" s="1" t="s">
        <v>24</v>
      </c>
      <c r="I5" s="1"/>
      <c r="J5" s="1"/>
      <c r="K5" s="1"/>
    </row>
    <row r="6" spans="1:11">
      <c r="A6" t="s">
        <v>25</v>
      </c>
      <c r="B6">
        <v>1.235446</v>
      </c>
      <c r="C6">
        <v>-1.811113</v>
      </c>
      <c r="D6">
        <v>-0.49447099999999999</v>
      </c>
      <c r="E6">
        <v>0.97285999999999995</v>
      </c>
      <c r="F6">
        <v>-0.67706200000000005</v>
      </c>
    </row>
    <row r="7" spans="1:11">
      <c r="A7" t="s">
        <v>26</v>
      </c>
      <c r="B7">
        <v>-0.61352099999999998</v>
      </c>
      <c r="C7">
        <v>7.3423000000000002E-2</v>
      </c>
      <c r="D7">
        <v>0.427118</v>
      </c>
      <c r="E7">
        <v>-0.209622</v>
      </c>
      <c r="F7">
        <v>-0.153806</v>
      </c>
    </row>
    <row r="8" spans="1:11">
      <c r="A8" t="s">
        <v>27</v>
      </c>
      <c r="B8">
        <v>-0.70596899999999996</v>
      </c>
      <c r="C8">
        <v>-0.195796</v>
      </c>
      <c r="D8">
        <v>0.48132900000000001</v>
      </c>
      <c r="E8">
        <v>0.145123</v>
      </c>
      <c r="F8">
        <v>-0.153806</v>
      </c>
    </row>
    <row r="9" spans="1:11">
      <c r="A9" t="s">
        <v>28</v>
      </c>
      <c r="B9">
        <v>-0.61352099999999998</v>
      </c>
      <c r="C9">
        <v>1.217606</v>
      </c>
      <c r="D9">
        <v>-4.1988940000000001</v>
      </c>
      <c r="E9">
        <v>-0.209622</v>
      </c>
      <c r="F9">
        <v>-0.67706200000000005</v>
      </c>
    </row>
    <row r="10" spans="1:11">
      <c r="A10" t="s">
        <v>29</v>
      </c>
      <c r="B10">
        <v>-0.70596899999999996</v>
      </c>
      <c r="C10">
        <v>-1.541893</v>
      </c>
      <c r="D10">
        <v>0.98729900000000004</v>
      </c>
      <c r="E10">
        <v>0.145123</v>
      </c>
      <c r="F10">
        <v>-1.7235739999999999</v>
      </c>
    </row>
    <row r="11" spans="1:11">
      <c r="A11" t="s">
        <v>30</v>
      </c>
      <c r="B11">
        <v>-0.428624</v>
      </c>
      <c r="C11">
        <v>0.40994799999999998</v>
      </c>
      <c r="D11">
        <v>-6.5709999999999996E-3</v>
      </c>
      <c r="E11">
        <v>2.6875E-2</v>
      </c>
      <c r="F11">
        <v>0.36945</v>
      </c>
    </row>
    <row r="12" spans="1:11">
      <c r="A12" t="s">
        <v>31</v>
      </c>
      <c r="B12">
        <v>-0.79841700000000004</v>
      </c>
      <c r="C12">
        <v>0.40994799999999998</v>
      </c>
      <c r="D12">
        <v>-6.0782000000000003E-2</v>
      </c>
      <c r="E12">
        <v>-4.2300589999999998</v>
      </c>
      <c r="F12">
        <v>1.0671250000000001</v>
      </c>
    </row>
    <row r="13" spans="1:11">
      <c r="A13" t="s">
        <v>32</v>
      </c>
      <c r="B13">
        <v>0.12606600000000001</v>
      </c>
      <c r="C13">
        <v>0.67916699999999997</v>
      </c>
      <c r="D13">
        <v>-0.13306399999999999</v>
      </c>
      <c r="E13">
        <v>0.49986700000000001</v>
      </c>
      <c r="F13">
        <v>-1.7235739999999999</v>
      </c>
    </row>
    <row r="14" spans="1:11">
      <c r="A14" t="s">
        <v>33</v>
      </c>
      <c r="B14">
        <v>1.050549</v>
      </c>
      <c r="C14">
        <v>6.1190000000000003E-3</v>
      </c>
      <c r="D14">
        <v>0.119921</v>
      </c>
      <c r="E14">
        <v>-9.1373999999999997E-2</v>
      </c>
      <c r="F14">
        <v>-0.153806</v>
      </c>
    </row>
    <row r="15" spans="1:11">
      <c r="A15" t="s">
        <v>34</v>
      </c>
      <c r="B15">
        <v>-0.61352099999999998</v>
      </c>
      <c r="C15">
        <v>-1.0034540000000001</v>
      </c>
      <c r="D15">
        <v>8.3780999999999994E-2</v>
      </c>
      <c r="E15">
        <v>0.38161899999999999</v>
      </c>
      <c r="F15">
        <v>0.71828800000000004</v>
      </c>
    </row>
    <row r="16" spans="1:11">
      <c r="A16" t="s">
        <v>35</v>
      </c>
      <c r="B16">
        <v>-0.428624</v>
      </c>
      <c r="C16">
        <v>7.3423000000000002E-2</v>
      </c>
      <c r="D16">
        <v>-6.5709999999999996E-3</v>
      </c>
      <c r="E16">
        <v>0.26337100000000002</v>
      </c>
      <c r="F16">
        <v>0.99735799999999997</v>
      </c>
    </row>
    <row r="17" spans="1:6">
      <c r="A17" t="s">
        <v>36</v>
      </c>
      <c r="B17">
        <v>-0.61352099999999998</v>
      </c>
      <c r="C17">
        <v>-0.73423499999999997</v>
      </c>
      <c r="D17">
        <v>0.40904699999999999</v>
      </c>
      <c r="E17">
        <v>0.38161899999999999</v>
      </c>
      <c r="F17">
        <v>2.1136370000000002</v>
      </c>
    </row>
    <row r="18" spans="1:6">
      <c r="A18" t="s">
        <v>37</v>
      </c>
      <c r="B18">
        <v>-0.61352099999999998</v>
      </c>
      <c r="C18">
        <v>0.67916699999999997</v>
      </c>
      <c r="D18">
        <v>0.53554000000000002</v>
      </c>
      <c r="E18">
        <v>0.145123</v>
      </c>
      <c r="F18">
        <v>0.19503200000000001</v>
      </c>
    </row>
    <row r="19" spans="1:6">
      <c r="A19" t="s">
        <v>38</v>
      </c>
      <c r="B19">
        <v>3.4542060000000001</v>
      </c>
      <c r="C19">
        <v>-2.2149420000000002</v>
      </c>
      <c r="D19">
        <v>-0.29569699999999999</v>
      </c>
      <c r="E19">
        <v>0.61811499999999997</v>
      </c>
      <c r="F19">
        <v>-1.0258989999999999</v>
      </c>
    </row>
    <row r="20" spans="1:6">
      <c r="A20" t="s">
        <v>39</v>
      </c>
      <c r="B20">
        <v>0.58830800000000005</v>
      </c>
      <c r="C20">
        <v>0.67916699999999997</v>
      </c>
      <c r="D20">
        <v>0.24641399999999999</v>
      </c>
      <c r="E20">
        <v>0.26337100000000002</v>
      </c>
      <c r="F20">
        <v>2.0612999999999999E-2</v>
      </c>
    </row>
    <row r="21" spans="1:6">
      <c r="A21" t="s">
        <v>40</v>
      </c>
      <c r="B21">
        <v>-5.8831000000000001E-2</v>
      </c>
      <c r="C21">
        <v>1.217606</v>
      </c>
      <c r="D21">
        <v>0.22834399999999999</v>
      </c>
      <c r="E21">
        <v>0.73636400000000002</v>
      </c>
      <c r="F21">
        <v>-0.85148000000000001</v>
      </c>
    </row>
    <row r="22" spans="1:6">
      <c r="A22" t="s">
        <v>41</v>
      </c>
      <c r="B22">
        <v>-0.70596899999999996</v>
      </c>
      <c r="C22">
        <v>-0.12849099999999999</v>
      </c>
      <c r="D22">
        <v>0.101851</v>
      </c>
      <c r="E22">
        <v>0.38161899999999999</v>
      </c>
      <c r="F22">
        <v>0.19503200000000001</v>
      </c>
    </row>
    <row r="23" spans="1:6">
      <c r="A23" t="s">
        <v>42</v>
      </c>
      <c r="B23">
        <v>0.21851400000000001</v>
      </c>
      <c r="C23">
        <v>0.61186200000000002</v>
      </c>
      <c r="D23">
        <v>0.137992</v>
      </c>
      <c r="E23">
        <v>-0.209622</v>
      </c>
      <c r="F23">
        <v>0.36945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workbookViewId="0">
      <selection activeCell="E9" sqref="E9"/>
    </sheetView>
  </sheetViews>
  <sheetFormatPr defaultRowHeight="12.5"/>
  <cols>
    <col min="2" max="2" width="14.453125" customWidth="1"/>
    <col min="3" max="3" width="12.08984375" customWidth="1"/>
    <col min="4" max="4" width="13.54296875" customWidth="1"/>
    <col min="5" max="5" width="15.36328125" customWidth="1"/>
    <col min="6" max="6" width="15.08984375" customWidth="1"/>
  </cols>
  <sheetData>
    <row r="1" spans="2:6">
      <c r="B1" s="2" t="s">
        <v>46</v>
      </c>
      <c r="C1" t="s">
        <v>47</v>
      </c>
      <c r="D1" t="s">
        <v>48</v>
      </c>
      <c r="E1" t="s">
        <v>49</v>
      </c>
      <c r="F1" t="s">
        <v>50</v>
      </c>
    </row>
    <row r="2" spans="2:6">
      <c r="B2" s="3" t="s">
        <v>47</v>
      </c>
      <c r="C2" s="4">
        <v>0.68569349999999996</v>
      </c>
      <c r="D2" s="4">
        <v>-4.2433999999999999E-2</v>
      </c>
      <c r="E2" s="4">
        <v>1.2743154000000001</v>
      </c>
      <c r="F2" s="4">
        <v>0.51627069999999997</v>
      </c>
    </row>
    <row r="3" spans="2:6">
      <c r="B3" s="3" t="s">
        <v>48</v>
      </c>
      <c r="C3" s="4">
        <v>-4.2433999999999999E-2</v>
      </c>
      <c r="D3" s="4">
        <v>0.18997939999999999</v>
      </c>
      <c r="E3" s="4">
        <v>-0.32965640000000002</v>
      </c>
      <c r="F3" s="4">
        <v>-0.12163939999999999</v>
      </c>
    </row>
    <row r="4" spans="2:6">
      <c r="B4" s="3" t="s">
        <v>49</v>
      </c>
      <c r="C4" s="4">
        <v>1.2743154000000001</v>
      </c>
      <c r="D4" s="4">
        <v>-0.32965640000000002</v>
      </c>
      <c r="E4" s="4">
        <v>3.1162779</v>
      </c>
      <c r="F4" s="4">
        <v>1.2956094</v>
      </c>
    </row>
    <row r="5" spans="2:6">
      <c r="B5" s="3" t="s">
        <v>50</v>
      </c>
      <c r="C5" s="4">
        <v>0.51627069999999997</v>
      </c>
      <c r="D5" s="4">
        <v>-0.12163939999999999</v>
      </c>
      <c r="E5" s="4">
        <v>1.2956094</v>
      </c>
      <c r="F5" s="4">
        <v>0.58100629999999998</v>
      </c>
    </row>
    <row r="6" spans="2:6">
      <c r="B6" s="5"/>
      <c r="C6" s="4"/>
      <c r="D6" s="4"/>
      <c r="E6" s="4"/>
      <c r="F6" s="4"/>
    </row>
    <row r="8" spans="2:6">
      <c r="B8" s="2" t="s">
        <v>51</v>
      </c>
      <c r="C8" t="s">
        <v>47</v>
      </c>
      <c r="D8" t="s">
        <v>48</v>
      </c>
      <c r="E8" t="s">
        <v>49</v>
      </c>
      <c r="F8" t="s">
        <v>50</v>
      </c>
    </row>
    <row r="9" spans="2:6">
      <c r="B9" s="3" t="s">
        <v>47</v>
      </c>
      <c r="C9" s="4">
        <v>1</v>
      </c>
      <c r="D9" s="4">
        <v>-0.1175698</v>
      </c>
      <c r="E9" s="4">
        <v>0.87175380000000002</v>
      </c>
      <c r="F9" s="4">
        <v>0.81794109999999998</v>
      </c>
    </row>
    <row r="10" spans="2:6">
      <c r="B10" s="3" t="s">
        <v>48</v>
      </c>
      <c r="C10" s="4">
        <v>-0.1175698</v>
      </c>
      <c r="D10" s="4">
        <v>1</v>
      </c>
      <c r="E10" s="4">
        <v>-0.42844009999999999</v>
      </c>
      <c r="F10" s="4">
        <v>-0.3661259</v>
      </c>
    </row>
    <row r="11" spans="2:6">
      <c r="B11" s="3" t="s">
        <v>49</v>
      </c>
      <c r="C11" s="4">
        <v>0.87175380000000002</v>
      </c>
      <c r="D11" s="4">
        <v>-0.42844009999999999</v>
      </c>
      <c r="E11" s="4">
        <v>1</v>
      </c>
      <c r="F11" s="4">
        <v>0.96286539999999998</v>
      </c>
    </row>
    <row r="12" spans="2:6">
      <c r="B12" s="5" t="s">
        <v>50</v>
      </c>
      <c r="C12" s="4">
        <v>0.81794109999999998</v>
      </c>
      <c r="D12" s="4">
        <v>-0.3661259</v>
      </c>
      <c r="E12" s="4">
        <v>0.96286539999999998</v>
      </c>
      <c r="F12" s="4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topLeftCell="A7" workbookViewId="0">
      <selection activeCell="N18" sqref="N18"/>
    </sheetView>
  </sheetViews>
  <sheetFormatPr defaultRowHeight="12.5"/>
  <cols>
    <col min="9" max="9" width="8.7265625" style="22"/>
  </cols>
  <sheetData>
    <row r="1" spans="1:15" ht="13" thickBot="1">
      <c r="A1" s="6"/>
      <c r="B1" s="7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9" t="s">
        <v>59</v>
      </c>
      <c r="J1" s="8" t="s">
        <v>60</v>
      </c>
      <c r="K1" s="8" t="s">
        <v>61</v>
      </c>
      <c r="L1" s="9" t="s">
        <v>62</v>
      </c>
      <c r="M1" s="8" t="s">
        <v>63</v>
      </c>
    </row>
    <row r="2" spans="1:15" ht="18">
      <c r="A2" s="10">
        <v>1</v>
      </c>
      <c r="B2" s="10" t="str">
        <f t="shared" ref="B2:B33" si="0">IF(L2=-1,"M","F") &amp; IF(M2=-1,"N","S")</f>
        <v>FN</v>
      </c>
      <c r="C2" s="11">
        <v>198</v>
      </c>
      <c r="D2" s="12">
        <v>92</v>
      </c>
      <c r="E2" s="12">
        <v>48</v>
      </c>
      <c r="F2" s="12">
        <v>98</v>
      </c>
      <c r="G2" s="12">
        <v>48</v>
      </c>
      <c r="H2" s="12">
        <v>100</v>
      </c>
      <c r="I2" s="12">
        <v>45</v>
      </c>
      <c r="J2" s="12">
        <v>420</v>
      </c>
      <c r="K2" s="12">
        <v>115</v>
      </c>
      <c r="L2" s="12">
        <v>0</v>
      </c>
      <c r="M2" s="13">
        <v>-1</v>
      </c>
      <c r="O2" s="14" t="s">
        <v>64</v>
      </c>
    </row>
    <row r="3" spans="1:15">
      <c r="A3" s="10">
        <v>2</v>
      </c>
      <c r="B3" s="10" t="str">
        <f t="shared" si="0"/>
        <v>FN</v>
      </c>
      <c r="C3" s="15">
        <v>184</v>
      </c>
      <c r="D3" s="16">
        <v>84</v>
      </c>
      <c r="E3" s="16">
        <v>44</v>
      </c>
      <c r="F3" s="16">
        <v>92</v>
      </c>
      <c r="G3" s="16">
        <v>33</v>
      </c>
      <c r="H3" s="16">
        <v>130</v>
      </c>
      <c r="I3" s="16">
        <v>33</v>
      </c>
      <c r="J3" s="16">
        <v>350</v>
      </c>
      <c r="K3" s="16">
        <v>102</v>
      </c>
      <c r="L3" s="16">
        <v>0</v>
      </c>
      <c r="M3" s="17">
        <v>-1</v>
      </c>
    </row>
    <row r="4" spans="1:15" ht="13">
      <c r="A4" s="10">
        <v>3</v>
      </c>
      <c r="B4" s="10" t="str">
        <f t="shared" si="0"/>
        <v>FN</v>
      </c>
      <c r="C4" s="15">
        <v>183</v>
      </c>
      <c r="D4" s="16">
        <v>83</v>
      </c>
      <c r="E4" s="16">
        <v>44</v>
      </c>
      <c r="F4" s="16">
        <v>91</v>
      </c>
      <c r="G4" s="16">
        <v>37</v>
      </c>
      <c r="H4" s="16">
        <v>127</v>
      </c>
      <c r="I4" s="16">
        <v>34</v>
      </c>
      <c r="J4" s="16">
        <v>320</v>
      </c>
      <c r="K4" s="16">
        <v>98</v>
      </c>
      <c r="L4" s="16">
        <v>0</v>
      </c>
      <c r="M4" s="17">
        <v>-1</v>
      </c>
      <c r="O4" s="18" t="s">
        <v>65</v>
      </c>
    </row>
    <row r="5" spans="1:15">
      <c r="A5" s="10">
        <v>4</v>
      </c>
      <c r="B5" s="10" t="str">
        <f t="shared" si="0"/>
        <v>FN</v>
      </c>
      <c r="C5" s="15">
        <v>182</v>
      </c>
      <c r="D5" s="16">
        <v>80</v>
      </c>
      <c r="E5" s="16">
        <v>42</v>
      </c>
      <c r="F5" s="16">
        <v>85</v>
      </c>
      <c r="G5" s="16">
        <v>35</v>
      </c>
      <c r="H5" s="16">
        <v>140</v>
      </c>
      <c r="I5" s="16">
        <v>30</v>
      </c>
      <c r="J5" s="16">
        <v>398</v>
      </c>
      <c r="K5" s="16">
        <v>65</v>
      </c>
      <c r="L5" s="16">
        <v>0</v>
      </c>
      <c r="M5" s="17">
        <v>-1</v>
      </c>
      <c r="O5" t="s">
        <v>66</v>
      </c>
    </row>
    <row r="6" spans="1:15">
      <c r="A6" s="10">
        <v>5</v>
      </c>
      <c r="B6" s="10" t="str">
        <f t="shared" si="0"/>
        <v>FN</v>
      </c>
      <c r="C6" s="15">
        <v>180</v>
      </c>
      <c r="D6" s="16">
        <v>80</v>
      </c>
      <c r="E6" s="16">
        <v>43</v>
      </c>
      <c r="F6" s="16">
        <v>84</v>
      </c>
      <c r="G6" s="16">
        <v>36</v>
      </c>
      <c r="H6" s="16">
        <v>129</v>
      </c>
      <c r="I6" s="16">
        <v>30</v>
      </c>
      <c r="J6" s="16">
        <v>388</v>
      </c>
      <c r="K6" s="16">
        <v>63</v>
      </c>
      <c r="L6" s="16">
        <v>0</v>
      </c>
      <c r="M6" s="17">
        <v>-1</v>
      </c>
      <c r="O6" t="s">
        <v>67</v>
      </c>
    </row>
    <row r="7" spans="1:15">
      <c r="A7" s="10">
        <v>6</v>
      </c>
      <c r="B7" s="10" t="str">
        <f t="shared" si="0"/>
        <v>FN</v>
      </c>
      <c r="C7" s="15">
        <v>183</v>
      </c>
      <c r="D7" s="16">
        <v>81</v>
      </c>
      <c r="E7" s="16">
        <v>42</v>
      </c>
      <c r="F7" s="16">
        <v>90</v>
      </c>
      <c r="G7" s="16">
        <v>37</v>
      </c>
      <c r="H7" s="16">
        <v>105</v>
      </c>
      <c r="I7" s="16">
        <v>35</v>
      </c>
      <c r="J7" s="16">
        <v>345</v>
      </c>
      <c r="K7" s="16">
        <v>45</v>
      </c>
      <c r="L7" s="16">
        <v>0</v>
      </c>
      <c r="M7" s="17">
        <v>-1</v>
      </c>
      <c r="O7" t="s">
        <v>68</v>
      </c>
    </row>
    <row r="8" spans="1:15">
      <c r="A8" s="10">
        <v>7</v>
      </c>
      <c r="B8" s="10" t="str">
        <f t="shared" si="0"/>
        <v>FN</v>
      </c>
      <c r="C8" s="15">
        <v>180</v>
      </c>
      <c r="D8" s="16">
        <v>82</v>
      </c>
      <c r="E8" s="16">
        <v>44</v>
      </c>
      <c r="F8" s="16">
        <v>88</v>
      </c>
      <c r="G8" s="16">
        <v>43</v>
      </c>
      <c r="H8" s="16">
        <v>109</v>
      </c>
      <c r="I8" s="16">
        <v>37</v>
      </c>
      <c r="J8" s="16">
        <v>355</v>
      </c>
      <c r="K8" s="16">
        <v>82</v>
      </c>
      <c r="L8" s="16">
        <v>0</v>
      </c>
      <c r="M8" s="17">
        <v>-1</v>
      </c>
      <c r="O8" t="s">
        <v>69</v>
      </c>
    </row>
    <row r="9" spans="1:15">
      <c r="A9" s="10">
        <v>8</v>
      </c>
      <c r="B9" s="10" t="str">
        <f t="shared" si="0"/>
        <v>FN</v>
      </c>
      <c r="C9" s="15">
        <v>180</v>
      </c>
      <c r="D9" s="16">
        <v>81</v>
      </c>
      <c r="E9" s="16">
        <v>44</v>
      </c>
      <c r="F9" s="16">
        <v>86</v>
      </c>
      <c r="G9" s="16">
        <v>46</v>
      </c>
      <c r="H9" s="16">
        <v>113</v>
      </c>
      <c r="I9" s="16">
        <v>42</v>
      </c>
      <c r="J9" s="16">
        <v>362</v>
      </c>
      <c r="K9" s="16">
        <v>90</v>
      </c>
      <c r="L9" s="16">
        <v>0</v>
      </c>
      <c r="M9" s="17">
        <v>-1</v>
      </c>
      <c r="O9" t="s">
        <v>70</v>
      </c>
    </row>
    <row r="10" spans="1:15">
      <c r="A10" s="10">
        <v>9</v>
      </c>
      <c r="B10" s="10" t="str">
        <f t="shared" si="0"/>
        <v>FS</v>
      </c>
      <c r="C10" s="15">
        <v>185</v>
      </c>
      <c r="D10" s="16">
        <v>82</v>
      </c>
      <c r="E10" s="16">
        <v>45</v>
      </c>
      <c r="F10" s="16">
        <v>92</v>
      </c>
      <c r="G10" s="16">
        <v>26</v>
      </c>
      <c r="H10" s="16">
        <v>109</v>
      </c>
      <c r="I10" s="16">
        <v>16</v>
      </c>
      <c r="J10" s="16">
        <v>295</v>
      </c>
      <c r="K10" s="16">
        <v>180</v>
      </c>
      <c r="L10" s="16">
        <v>0</v>
      </c>
      <c r="M10" s="17">
        <v>1</v>
      </c>
      <c r="O10" t="s">
        <v>71</v>
      </c>
    </row>
    <row r="11" spans="1:15">
      <c r="A11" s="10">
        <v>10</v>
      </c>
      <c r="B11" s="10" t="str">
        <f t="shared" si="0"/>
        <v>FS</v>
      </c>
      <c r="C11" s="15">
        <v>187</v>
      </c>
      <c r="D11" s="16">
        <v>84</v>
      </c>
      <c r="E11" s="16">
        <v>46</v>
      </c>
      <c r="F11" s="16">
        <v>95</v>
      </c>
      <c r="G11" s="16">
        <v>27</v>
      </c>
      <c r="H11" s="16">
        <v>119</v>
      </c>
      <c r="I11" s="16">
        <v>16.5</v>
      </c>
      <c r="J11" s="16">
        <v>299</v>
      </c>
      <c r="K11" s="16">
        <v>178</v>
      </c>
      <c r="L11" s="16">
        <v>0</v>
      </c>
      <c r="M11" s="17">
        <v>1</v>
      </c>
      <c r="O11" t="s">
        <v>72</v>
      </c>
    </row>
    <row r="12" spans="1:15">
      <c r="A12" s="10">
        <v>11</v>
      </c>
      <c r="B12" s="10" t="str">
        <f t="shared" si="0"/>
        <v>FS</v>
      </c>
      <c r="C12" s="15">
        <v>177</v>
      </c>
      <c r="D12" s="16">
        <v>65</v>
      </c>
      <c r="E12" s="16">
        <v>41</v>
      </c>
      <c r="F12" s="16">
        <v>86</v>
      </c>
      <c r="G12" s="16">
        <v>26</v>
      </c>
      <c r="H12" s="16">
        <v>120</v>
      </c>
      <c r="I12" s="16">
        <v>18</v>
      </c>
      <c r="J12" s="16">
        <v>209</v>
      </c>
      <c r="K12" s="16">
        <v>160</v>
      </c>
      <c r="L12" s="16">
        <v>0</v>
      </c>
      <c r="M12" s="17">
        <v>1</v>
      </c>
      <c r="O12" t="s">
        <v>73</v>
      </c>
    </row>
    <row r="13" spans="1:15">
      <c r="A13" s="10">
        <v>12</v>
      </c>
      <c r="B13" s="10" t="str">
        <f t="shared" si="0"/>
        <v>FS</v>
      </c>
      <c r="C13" s="15">
        <v>180</v>
      </c>
      <c r="D13" s="16">
        <v>72</v>
      </c>
      <c r="E13" s="16">
        <v>43</v>
      </c>
      <c r="F13" s="16">
        <v>85</v>
      </c>
      <c r="G13" s="16">
        <v>33</v>
      </c>
      <c r="H13" s="16">
        <v>115</v>
      </c>
      <c r="I13" s="16">
        <v>19</v>
      </c>
      <c r="J13" s="16">
        <v>236</v>
      </c>
      <c r="K13" s="16">
        <v>175</v>
      </c>
      <c r="L13" s="16">
        <v>0</v>
      </c>
      <c r="M13" s="17">
        <v>1</v>
      </c>
      <c r="O13" t="s">
        <v>74</v>
      </c>
    </row>
    <row r="14" spans="1:15">
      <c r="A14" s="10">
        <v>13</v>
      </c>
      <c r="B14" s="10" t="str">
        <f t="shared" si="0"/>
        <v>FS</v>
      </c>
      <c r="C14" s="15">
        <v>181</v>
      </c>
      <c r="D14" s="16">
        <v>75</v>
      </c>
      <c r="E14" s="16">
        <v>43</v>
      </c>
      <c r="F14" s="16">
        <v>83</v>
      </c>
      <c r="G14" s="16">
        <v>42</v>
      </c>
      <c r="H14" s="16">
        <v>105</v>
      </c>
      <c r="I14" s="16">
        <v>31</v>
      </c>
      <c r="J14" s="16">
        <v>198</v>
      </c>
      <c r="K14" s="16">
        <v>161</v>
      </c>
      <c r="L14" s="16">
        <v>0</v>
      </c>
      <c r="M14" s="17">
        <v>1</v>
      </c>
      <c r="O14" t="s">
        <v>75</v>
      </c>
    </row>
    <row r="15" spans="1:15">
      <c r="A15" s="10">
        <v>14</v>
      </c>
      <c r="B15" s="10" t="str">
        <f t="shared" si="0"/>
        <v>FS</v>
      </c>
      <c r="C15" s="15">
        <v>176</v>
      </c>
      <c r="D15" s="16">
        <v>68</v>
      </c>
      <c r="E15" s="16">
        <v>42</v>
      </c>
      <c r="F15" s="16">
        <v>82</v>
      </c>
      <c r="G15" s="16">
        <v>50</v>
      </c>
      <c r="H15" s="16">
        <v>96</v>
      </c>
      <c r="I15" s="16">
        <v>36</v>
      </c>
      <c r="J15" s="16">
        <v>195</v>
      </c>
      <c r="K15" s="16">
        <v>177</v>
      </c>
      <c r="L15" s="16">
        <v>0</v>
      </c>
      <c r="M15" s="17">
        <v>1</v>
      </c>
    </row>
    <row r="16" spans="1:15">
      <c r="A16" s="10">
        <v>15</v>
      </c>
      <c r="B16" s="10" t="str">
        <f t="shared" si="0"/>
        <v>FS</v>
      </c>
      <c r="C16" s="15">
        <v>175</v>
      </c>
      <c r="D16" s="16">
        <v>67</v>
      </c>
      <c r="E16" s="16">
        <v>42</v>
      </c>
      <c r="F16" s="16">
        <v>80</v>
      </c>
      <c r="G16" s="16">
        <v>55</v>
      </c>
      <c r="H16" s="16">
        <v>105</v>
      </c>
      <c r="I16" s="16">
        <v>38</v>
      </c>
      <c r="J16" s="16">
        <v>185</v>
      </c>
      <c r="K16" s="16">
        <v>187</v>
      </c>
      <c r="L16" s="16">
        <v>0</v>
      </c>
      <c r="M16" s="17">
        <v>1</v>
      </c>
    </row>
    <row r="17" spans="1:13">
      <c r="A17" s="10">
        <v>16</v>
      </c>
      <c r="B17" s="10" t="str">
        <f t="shared" si="0"/>
        <v>FS</v>
      </c>
      <c r="C17" s="15">
        <v>178</v>
      </c>
      <c r="D17" s="16">
        <v>75</v>
      </c>
      <c r="E17" s="16">
        <v>42</v>
      </c>
      <c r="F17" s="16">
        <v>81</v>
      </c>
      <c r="G17" s="16">
        <v>30</v>
      </c>
      <c r="H17" s="16">
        <v>118</v>
      </c>
      <c r="I17" s="16">
        <v>24</v>
      </c>
      <c r="J17" s="16">
        <v>203</v>
      </c>
      <c r="K17" s="16">
        <v>208</v>
      </c>
      <c r="L17" s="16">
        <v>0</v>
      </c>
      <c r="M17" s="17">
        <v>1</v>
      </c>
    </row>
    <row r="18" spans="1:13">
      <c r="A18" s="10">
        <v>17</v>
      </c>
      <c r="B18" s="10" t="str">
        <f t="shared" si="0"/>
        <v>FN</v>
      </c>
      <c r="C18" s="15">
        <v>166</v>
      </c>
      <c r="D18" s="16">
        <v>47</v>
      </c>
      <c r="E18" s="16">
        <v>36</v>
      </c>
      <c r="F18" s="16">
        <v>75</v>
      </c>
      <c r="G18" s="16">
        <v>32</v>
      </c>
      <c r="H18" s="16">
        <v>112</v>
      </c>
      <c r="I18" s="16">
        <v>28</v>
      </c>
      <c r="J18" s="16">
        <v>270</v>
      </c>
      <c r="K18" s="16">
        <v>78</v>
      </c>
      <c r="L18" s="16">
        <v>1</v>
      </c>
      <c r="M18" s="17">
        <v>-1</v>
      </c>
    </row>
    <row r="19" spans="1:13">
      <c r="A19" s="10">
        <v>18</v>
      </c>
      <c r="B19" s="10" t="str">
        <f t="shared" si="0"/>
        <v>FN</v>
      </c>
      <c r="C19" s="15">
        <v>170</v>
      </c>
      <c r="D19" s="16">
        <v>60</v>
      </c>
      <c r="E19" s="16">
        <v>38</v>
      </c>
      <c r="F19" s="16">
        <v>81</v>
      </c>
      <c r="G19" s="16">
        <v>23</v>
      </c>
      <c r="H19" s="16">
        <v>110</v>
      </c>
      <c r="I19" s="16">
        <v>20</v>
      </c>
      <c r="J19" s="16">
        <v>312</v>
      </c>
      <c r="K19" s="16">
        <v>99</v>
      </c>
      <c r="L19" s="16">
        <v>1</v>
      </c>
      <c r="M19" s="17">
        <v>-1</v>
      </c>
    </row>
    <row r="20" spans="1:13">
      <c r="A20" s="10">
        <v>19</v>
      </c>
      <c r="B20" s="10" t="str">
        <f t="shared" si="0"/>
        <v>FN</v>
      </c>
      <c r="C20" s="15">
        <v>172</v>
      </c>
      <c r="D20" s="16">
        <v>64</v>
      </c>
      <c r="E20" s="16">
        <v>39</v>
      </c>
      <c r="F20" s="16">
        <v>82</v>
      </c>
      <c r="G20" s="16">
        <v>24</v>
      </c>
      <c r="H20" s="16">
        <v>102</v>
      </c>
      <c r="I20" s="16">
        <v>22</v>
      </c>
      <c r="J20" s="16">
        <v>308</v>
      </c>
      <c r="K20" s="16">
        <v>91</v>
      </c>
      <c r="L20" s="16">
        <v>1</v>
      </c>
      <c r="M20" s="17">
        <v>-1</v>
      </c>
    </row>
    <row r="21" spans="1:13">
      <c r="A21" s="10">
        <v>20</v>
      </c>
      <c r="B21" s="10" t="str">
        <f t="shared" si="0"/>
        <v>FN</v>
      </c>
      <c r="C21" s="15">
        <v>169</v>
      </c>
      <c r="D21" s="16">
        <v>51</v>
      </c>
      <c r="E21" s="16">
        <v>36</v>
      </c>
      <c r="F21" s="16">
        <v>78</v>
      </c>
      <c r="G21" s="16">
        <v>24</v>
      </c>
      <c r="H21" s="16">
        <v>98</v>
      </c>
      <c r="I21" s="16">
        <v>23</v>
      </c>
      <c r="J21" s="16">
        <v>250</v>
      </c>
      <c r="K21" s="16">
        <v>89</v>
      </c>
      <c r="L21" s="16">
        <v>1</v>
      </c>
      <c r="M21" s="17">
        <v>-1</v>
      </c>
    </row>
    <row r="22" spans="1:13">
      <c r="A22" s="10">
        <v>21</v>
      </c>
      <c r="B22" s="10" t="str">
        <f t="shared" si="0"/>
        <v>FN</v>
      </c>
      <c r="C22" s="15">
        <v>168</v>
      </c>
      <c r="D22" s="16">
        <v>52</v>
      </c>
      <c r="E22" s="16">
        <v>37</v>
      </c>
      <c r="F22" s="16">
        <v>78</v>
      </c>
      <c r="G22" s="16">
        <v>27</v>
      </c>
      <c r="H22" s="16">
        <v>100</v>
      </c>
      <c r="I22" s="16">
        <v>23.5</v>
      </c>
      <c r="J22" s="16">
        <v>260</v>
      </c>
      <c r="K22" s="16">
        <v>86</v>
      </c>
      <c r="L22" s="16">
        <v>1</v>
      </c>
      <c r="M22" s="17">
        <v>-1</v>
      </c>
    </row>
    <row r="23" spans="1:13">
      <c r="A23" s="10">
        <v>22</v>
      </c>
      <c r="B23" s="10" t="str">
        <f t="shared" si="0"/>
        <v>FN</v>
      </c>
      <c r="C23" s="15">
        <v>157</v>
      </c>
      <c r="D23" s="16">
        <v>47</v>
      </c>
      <c r="E23" s="16">
        <v>36</v>
      </c>
      <c r="F23" s="16">
        <v>70</v>
      </c>
      <c r="G23" s="16">
        <v>32</v>
      </c>
      <c r="H23" s="16">
        <v>127</v>
      </c>
      <c r="I23" s="16">
        <v>32</v>
      </c>
      <c r="J23" s="16">
        <v>235</v>
      </c>
      <c r="K23" s="16">
        <v>92</v>
      </c>
      <c r="L23" s="16">
        <v>1</v>
      </c>
      <c r="M23" s="17">
        <v>-1</v>
      </c>
    </row>
    <row r="24" spans="1:13">
      <c r="A24" s="10">
        <v>23</v>
      </c>
      <c r="B24" s="10" t="str">
        <f t="shared" si="0"/>
        <v>FN</v>
      </c>
      <c r="C24" s="15">
        <v>164</v>
      </c>
      <c r="D24" s="16">
        <v>50</v>
      </c>
      <c r="E24" s="16">
        <v>38</v>
      </c>
      <c r="F24" s="16">
        <v>76</v>
      </c>
      <c r="G24" s="16">
        <v>41</v>
      </c>
      <c r="H24" s="16">
        <v>101</v>
      </c>
      <c r="I24" s="16">
        <v>34</v>
      </c>
      <c r="J24" s="16">
        <v>255</v>
      </c>
      <c r="K24" s="16">
        <v>134</v>
      </c>
      <c r="L24" s="16">
        <v>1</v>
      </c>
      <c r="M24" s="17">
        <v>-1</v>
      </c>
    </row>
    <row r="25" spans="1:13">
      <c r="A25" s="10">
        <v>24</v>
      </c>
      <c r="B25" s="10" t="str">
        <f t="shared" si="0"/>
        <v>FN</v>
      </c>
      <c r="C25" s="15">
        <v>162</v>
      </c>
      <c r="D25" s="16">
        <v>49</v>
      </c>
      <c r="E25" s="16">
        <v>37</v>
      </c>
      <c r="F25" s="16">
        <v>75</v>
      </c>
      <c r="G25" s="16">
        <v>40</v>
      </c>
      <c r="H25" s="16">
        <v>108</v>
      </c>
      <c r="I25" s="16">
        <v>34</v>
      </c>
      <c r="J25" s="16">
        <v>265</v>
      </c>
      <c r="K25" s="16">
        <v>124</v>
      </c>
      <c r="L25" s="16">
        <v>1</v>
      </c>
      <c r="M25" s="17">
        <v>-1</v>
      </c>
    </row>
    <row r="26" spans="1:13">
      <c r="A26" s="10">
        <v>25</v>
      </c>
      <c r="B26" s="10" t="str">
        <f t="shared" si="0"/>
        <v>FS</v>
      </c>
      <c r="C26" s="15">
        <v>168</v>
      </c>
      <c r="D26" s="16">
        <v>50</v>
      </c>
      <c r="E26" s="16">
        <v>37</v>
      </c>
      <c r="F26" s="16">
        <v>76</v>
      </c>
      <c r="G26" s="16">
        <v>49</v>
      </c>
      <c r="H26" s="16">
        <v>135</v>
      </c>
      <c r="I26" s="16">
        <v>34</v>
      </c>
      <c r="J26" s="16">
        <v>170</v>
      </c>
      <c r="K26" s="16">
        <v>162</v>
      </c>
      <c r="L26" s="16">
        <v>1</v>
      </c>
      <c r="M26" s="17">
        <v>1</v>
      </c>
    </row>
    <row r="27" spans="1:13">
      <c r="A27" s="10">
        <v>26</v>
      </c>
      <c r="B27" s="10" t="str">
        <f t="shared" si="0"/>
        <v>FS</v>
      </c>
      <c r="C27" s="15">
        <v>166</v>
      </c>
      <c r="D27" s="16">
        <v>49</v>
      </c>
      <c r="E27" s="16">
        <v>36</v>
      </c>
      <c r="F27" s="16">
        <v>75</v>
      </c>
      <c r="G27" s="16">
        <v>21</v>
      </c>
      <c r="H27" s="16">
        <v>123</v>
      </c>
      <c r="I27" s="16">
        <v>14</v>
      </c>
      <c r="J27" s="16">
        <v>150</v>
      </c>
      <c r="K27" s="16">
        <v>245</v>
      </c>
      <c r="L27" s="16">
        <v>1</v>
      </c>
      <c r="M27" s="17">
        <v>1</v>
      </c>
    </row>
    <row r="28" spans="1:13">
      <c r="A28" s="10">
        <v>27</v>
      </c>
      <c r="B28" s="10" t="str">
        <f t="shared" si="0"/>
        <v>FS</v>
      </c>
      <c r="C28" s="15">
        <v>158</v>
      </c>
      <c r="D28" s="16">
        <v>46</v>
      </c>
      <c r="E28" s="16">
        <v>34</v>
      </c>
      <c r="F28" s="16">
        <v>70</v>
      </c>
      <c r="G28" s="16">
        <v>30</v>
      </c>
      <c r="H28" s="16">
        <v>119</v>
      </c>
      <c r="I28" s="16">
        <v>18</v>
      </c>
      <c r="J28" s="16">
        <v>120</v>
      </c>
      <c r="K28" s="16">
        <v>120</v>
      </c>
      <c r="L28" s="16">
        <v>1</v>
      </c>
      <c r="M28" s="17">
        <v>1</v>
      </c>
    </row>
    <row r="29" spans="1:13">
      <c r="A29" s="10">
        <v>28</v>
      </c>
      <c r="B29" s="10" t="str">
        <f t="shared" si="0"/>
        <v>FS</v>
      </c>
      <c r="C29" s="15">
        <v>163</v>
      </c>
      <c r="D29" s="16">
        <v>50</v>
      </c>
      <c r="E29" s="16">
        <v>36</v>
      </c>
      <c r="F29" s="16">
        <v>75</v>
      </c>
      <c r="G29" s="16">
        <v>18</v>
      </c>
      <c r="H29" s="16">
        <v>102</v>
      </c>
      <c r="I29" s="16">
        <v>11</v>
      </c>
      <c r="J29" s="16">
        <v>143</v>
      </c>
      <c r="K29" s="16">
        <v>136</v>
      </c>
      <c r="L29" s="16">
        <v>1</v>
      </c>
      <c r="M29" s="17">
        <v>1</v>
      </c>
    </row>
    <row r="30" spans="1:13">
      <c r="A30" s="10">
        <v>29</v>
      </c>
      <c r="B30" s="10" t="str">
        <f t="shared" si="0"/>
        <v>FS</v>
      </c>
      <c r="C30" s="15">
        <v>162</v>
      </c>
      <c r="D30" s="16">
        <v>50</v>
      </c>
      <c r="E30" s="16">
        <v>36</v>
      </c>
      <c r="F30" s="16">
        <v>74</v>
      </c>
      <c r="G30" s="16">
        <v>20</v>
      </c>
      <c r="H30" s="16">
        <v>132</v>
      </c>
      <c r="I30" s="16">
        <v>11.5</v>
      </c>
      <c r="J30" s="16">
        <v>133</v>
      </c>
      <c r="K30" s="16">
        <v>146</v>
      </c>
      <c r="L30" s="16">
        <v>1</v>
      </c>
      <c r="M30" s="17">
        <v>1</v>
      </c>
    </row>
    <row r="31" spans="1:13">
      <c r="A31" s="10">
        <v>30</v>
      </c>
      <c r="B31" s="10" t="str">
        <f t="shared" si="0"/>
        <v>FS</v>
      </c>
      <c r="C31" s="15">
        <v>165</v>
      </c>
      <c r="D31" s="16">
        <v>51</v>
      </c>
      <c r="E31" s="16">
        <v>36</v>
      </c>
      <c r="F31" s="16">
        <v>76</v>
      </c>
      <c r="G31" s="16">
        <v>36</v>
      </c>
      <c r="H31" s="16">
        <v>126</v>
      </c>
      <c r="I31" s="16">
        <v>26</v>
      </c>
      <c r="J31" s="16">
        <v>121</v>
      </c>
      <c r="K31" s="16">
        <v>129</v>
      </c>
      <c r="L31" s="16">
        <v>1</v>
      </c>
      <c r="M31" s="17">
        <v>1</v>
      </c>
    </row>
    <row r="32" spans="1:13">
      <c r="A32" s="10">
        <v>31</v>
      </c>
      <c r="B32" s="10" t="str">
        <f t="shared" si="0"/>
        <v>FS</v>
      </c>
      <c r="C32" s="15">
        <v>161</v>
      </c>
      <c r="D32" s="16">
        <v>48</v>
      </c>
      <c r="E32" s="16">
        <v>35</v>
      </c>
      <c r="F32" s="16">
        <v>75</v>
      </c>
      <c r="G32" s="16">
        <v>41</v>
      </c>
      <c r="H32" s="16">
        <v>120</v>
      </c>
      <c r="I32" s="16">
        <v>31.5</v>
      </c>
      <c r="J32" s="16">
        <v>116</v>
      </c>
      <c r="K32" s="16">
        <v>196</v>
      </c>
      <c r="L32" s="16">
        <v>1</v>
      </c>
      <c r="M32" s="17">
        <v>1</v>
      </c>
    </row>
    <row r="33" spans="1:13" ht="13" thickBot="1">
      <c r="A33" s="10">
        <v>32</v>
      </c>
      <c r="B33" s="10" t="str">
        <f t="shared" si="0"/>
        <v>FS</v>
      </c>
      <c r="C33" s="19">
        <v>160</v>
      </c>
      <c r="D33" s="20">
        <v>48</v>
      </c>
      <c r="E33" s="20">
        <v>35</v>
      </c>
      <c r="F33" s="20">
        <v>74</v>
      </c>
      <c r="G33" s="20">
        <v>40</v>
      </c>
      <c r="H33" s="20">
        <v>129</v>
      </c>
      <c r="I33" s="20">
        <v>31</v>
      </c>
      <c r="J33" s="20">
        <v>118</v>
      </c>
      <c r="K33" s="20">
        <v>198</v>
      </c>
      <c r="L33" s="20">
        <v>1</v>
      </c>
      <c r="M33" s="2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18</vt:i4>
      </vt:variant>
    </vt:vector>
  </HeadingPairs>
  <TitlesOfParts>
    <vt:vector size="22" baseType="lpstr">
      <vt:lpstr>KA</vt:lpstr>
      <vt:lpstr>Cars</vt:lpstr>
      <vt:lpstr>Iris</vt:lpstr>
      <vt:lpstr>pop</vt:lpstr>
      <vt:lpstr>pop!Ch0</vt:lpstr>
      <vt:lpstr>pop!Ch1.1</vt:lpstr>
      <vt:lpstr>pop!Ch2.1</vt:lpstr>
      <vt:lpstr>pop!Ch2.10</vt:lpstr>
      <vt:lpstr>pop!Ch2.11</vt:lpstr>
      <vt:lpstr>pop!Ch2.12</vt:lpstr>
      <vt:lpstr>pop!Ch2.13</vt:lpstr>
      <vt:lpstr>pop!Ch2.2</vt:lpstr>
      <vt:lpstr>pop!Ch2.3</vt:lpstr>
      <vt:lpstr>pop!Ch2.4</vt:lpstr>
      <vt:lpstr>pop!Ch2.5</vt:lpstr>
      <vt:lpstr>pop!Ch2.6</vt:lpstr>
      <vt:lpstr>pop!Ch2.7</vt:lpstr>
      <vt:lpstr>pop!Ch2.8</vt:lpstr>
      <vt:lpstr>pop!Ch2.9</vt:lpstr>
      <vt:lpstr>pop!Ch3.1</vt:lpstr>
      <vt:lpstr>pop!Ch3.2</vt:lpstr>
      <vt:lpstr>pop!Contents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Axanka</dc:creator>
  <cp:lastModifiedBy>Axanka</cp:lastModifiedBy>
  <dcterms:created xsi:type="dcterms:W3CDTF">2024-03-27T10:10:05Z</dcterms:created>
  <dcterms:modified xsi:type="dcterms:W3CDTF">2026-05-28T00:20:17Z</dcterms:modified>
</cp:coreProperties>
</file>