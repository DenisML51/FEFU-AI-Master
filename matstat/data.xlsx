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590"/>
  </bookViews>
  <sheets>
    <sheet name="реклама" sheetId="5" r:id="rId1"/>
    <sheet name="cofein" sheetId="4" r:id="rId2"/>
    <sheet name="Лсс" sheetId="3" r:id="rId3"/>
    <sheet name="ген-цит" sheetId="1" r:id="rId4"/>
    <sheet name="диеты" sheetId="2" r:id="rId5"/>
  </sheets>
  <definedNames>
    <definedName name="_xlnm._FilterDatabase" localSheetId="1" hidden="1">cofein!$E$5:$F$36</definedName>
  </definedNames>
  <calcPr calcId="144525"/>
</workbook>
</file>

<file path=xl/calcChain.xml><?xml version="1.0" encoding="utf-8"?>
<calcChain xmlns="http://schemas.openxmlformats.org/spreadsheetml/2006/main">
  <c r="M8" i="3" l="1"/>
  <c r="M9" i="3" s="1"/>
  <c r="K8" i="3"/>
  <c r="K9" i="3" s="1"/>
  <c r="I8" i="3"/>
  <c r="I9" i="3" s="1"/>
  <c r="H9" i="3" l="1"/>
  <c r="H10" i="3" s="1"/>
</calcChain>
</file>

<file path=xl/sharedStrings.xml><?xml version="1.0" encoding="utf-8"?>
<sst xmlns="http://schemas.openxmlformats.org/spreadsheetml/2006/main" count="743" uniqueCount="258">
  <si>
    <t>Nn</t>
  </si>
  <si>
    <t>C-4G</t>
  </si>
  <si>
    <t>C-4</t>
  </si>
  <si>
    <t>C-6G</t>
  </si>
  <si>
    <t>C-6</t>
  </si>
  <si>
    <t>c1</t>
  </si>
  <si>
    <t>ТТ</t>
  </si>
  <si>
    <t>CC</t>
  </si>
  <si>
    <t>c2</t>
  </si>
  <si>
    <t>СТ</t>
  </si>
  <si>
    <t>CT</t>
  </si>
  <si>
    <t>c3</t>
  </si>
  <si>
    <t>c4</t>
  </si>
  <si>
    <t>c5</t>
  </si>
  <si>
    <t>c6</t>
  </si>
  <si>
    <t>c7</t>
  </si>
  <si>
    <t>СС</t>
  </si>
  <si>
    <t>c8</t>
  </si>
  <si>
    <t>c9</t>
  </si>
  <si>
    <t>c10</t>
  </si>
  <si>
    <t>c11</t>
  </si>
  <si>
    <t>TT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</si>
  <si>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</si>
  <si>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</si>
  <si>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</si>
  <si>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</si>
  <si>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</si>
  <si>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</si>
  <si>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</si>
  <si>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</si>
  <si>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</si>
  <si>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</si>
  <si>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</si>
  <si>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</si>
  <si>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</si>
  <si>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</si>
  <si>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</si>
  <si>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</si>
  <si>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</si>
  <si>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</si>
  <si>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</si>
  <si>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</si>
  <si>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</si>
  <si>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</si>
  <si>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</si>
  <si>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</si>
  <si>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</si>
  <si>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</si>
  <si>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</si>
  <si>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</si>
  <si>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</si>
  <si>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</si>
  <si>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</si>
  <si>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</si>
  <si>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</si>
  <si>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</si>
  <si>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</si>
  <si>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</si>
  <si>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</si>
  <si>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</si>
  <si>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</si>
  <si>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</si>
  <si>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</si>
  <si>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</si>
  <si>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</si>
  <si>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</si>
  <si>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</si>
  <si>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</si>
  <si>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</si>
  <si>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</si>
  <si>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</si>
  <si>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</si>
  <si>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</si>
  <si>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</si>
  <si>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</si>
  <si>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</si>
  <si>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</si>
  <si>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</si>
  <si>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</si>
  <si>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</si>
  <si>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</si>
  <si>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</si>
  <si>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</si>
  <si>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</si>
  <si>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</si>
  <si>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</si>
  <si>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</si>
  <si>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</si>
  <si>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</si>
  <si>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</si>
  <si>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</si>
  <si>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</si>
  <si>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</si>
  <si>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</si>
  <si>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</si>
  <si>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</si>
  <si>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</si>
  <si>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</si>
  <si>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</si>
  <si>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</si>
  <si>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</si>
  <si>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</si>
  <si>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</si>
  <si>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</si>
  <si>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</si>
  <si>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</si>
  <si>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</si>
  <si>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</si>
  <si>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</si>
  <si>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</si>
  <si>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</si>
  <si>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</si>
  <si>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</si>
  <si>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</si>
  <si>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</si>
  <si>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</si>
  <si>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</si>
  <si>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ar22</t>
  </si>
  <si>
    <t>ar23</t>
  </si>
  <si>
    <t>ar24</t>
  </si>
  <si>
    <t>ar25</t>
  </si>
  <si>
    <t>ar26</t>
  </si>
  <si>
    <t>ar27</t>
  </si>
  <si>
    <t>ar28</t>
  </si>
  <si>
    <t>ar29</t>
  </si>
  <si>
    <t>ar30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</si>
  <si>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</si>
  <si>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</si>
  <si>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</si>
  <si>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</si>
  <si>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</si>
  <si>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</si>
  <si>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</si>
  <si>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</si>
  <si>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</si>
  <si>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</si>
  <si>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</si>
  <si>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</si>
  <si>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</si>
  <si>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</si>
  <si>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</si>
  <si>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</si>
  <si>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</si>
  <si>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</si>
  <si>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</si>
  <si>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</si>
  <si>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</si>
  <si>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</si>
  <si>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</si>
  <si>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</si>
  <si>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</si>
  <si>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</si>
  <si>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</si>
  <si>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</si>
  <si>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</si>
  <si>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</si>
  <si>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</si>
  <si>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</si>
  <si>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</si>
  <si>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</si>
  <si>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</si>
  <si>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</si>
  <si>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</si>
  <si>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</si>
  <si>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</si>
  <si>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</si>
  <si>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</si>
  <si>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</si>
  <si>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</si>
  <si>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</si>
  <si>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</si>
  <si>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</si>
  <si>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</si>
  <si>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</si>
  <si>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</si>
  <si>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</si>
  <si>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</si>
  <si>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</si>
  <si>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</si>
  <si>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</si>
  <si>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</si>
  <si>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</si>
  <si>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</si>
  <si>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</si>
  <si>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</si>
  <si>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</si>
  <si>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vr1</t>
  </si>
  <si>
    <t>vr2</t>
  </si>
  <si>
    <t>vr3</t>
  </si>
  <si>
    <t>vr4</t>
  </si>
  <si>
    <t>vr5</t>
  </si>
  <si>
    <t>vr6</t>
  </si>
  <si>
    <t>vr7</t>
  </si>
  <si>
    <t>vr8</t>
  </si>
  <si>
    <t>vr9</t>
  </si>
  <si>
    <t>vr10</t>
  </si>
  <si>
    <t>vr11</t>
  </si>
  <si>
    <t>vr12</t>
  </si>
  <si>
    <t>vr13</t>
  </si>
  <si>
    <t>vr14</t>
  </si>
  <si>
    <t>vr15</t>
  </si>
  <si>
    <t>vr16</t>
  </si>
  <si>
    <t>vr17</t>
  </si>
  <si>
    <t>vr18</t>
  </si>
  <si>
    <t>vr19</t>
  </si>
  <si>
    <t>vr20</t>
  </si>
  <si>
    <t>vr21</t>
  </si>
  <si>
    <t>vr22</t>
  </si>
  <si>
    <t>vr23</t>
  </si>
  <si>
    <t>vr24</t>
  </si>
  <si>
    <t>vr25</t>
  </si>
  <si>
    <t>vr26</t>
  </si>
  <si>
    <t>vr27</t>
  </si>
  <si>
    <t>vr28</t>
  </si>
  <si>
    <t>vr29</t>
  </si>
  <si>
    <t>vr30</t>
  </si>
  <si>
    <t>vr31</t>
  </si>
  <si>
    <t>vr32</t>
  </si>
  <si>
    <t>vr33</t>
  </si>
  <si>
    <t>vr34</t>
  </si>
  <si>
    <t>vr35</t>
  </si>
  <si>
    <t>Person</t>
  </si>
  <si>
    <t>gender</t>
  </si>
  <si>
    <t>Age</t>
  </si>
  <si>
    <t>Height</t>
  </si>
  <si>
    <t>pre.weight</t>
  </si>
  <si>
    <t>Diet</t>
  </si>
  <si>
    <t>weight6weeks</t>
  </si>
  <si>
    <t>Данные про эффективность диет (Университета Шеффилда)</t>
  </si>
  <si>
    <t>https://raw.githubusercontent.com/Pozdniakov/tidy_stats/master/data/stcp-Rdataset-Diet.csv</t>
  </si>
  <si>
    <t>NA</t>
  </si>
  <si>
    <t>Легочное сосудистое сопротивление у больных первичной легочной гипертензией на фоне лечения</t>
  </si>
  <si>
    <t>Измерение</t>
  </si>
  <si>
    <t>Больной</t>
  </si>
  <si>
    <t>m1</t>
  </si>
  <si>
    <t>m2</t>
  </si>
  <si>
    <t>m3</t>
  </si>
  <si>
    <t>ранг</t>
  </si>
  <si>
    <t>Ri</t>
  </si>
  <si>
    <t>S</t>
  </si>
  <si>
    <t xml:space="preserve">каждый участник эксперимента принимал 250 мг кофеина, что соответствует примерно 3 чашкам кофе, </t>
  </si>
  <si>
    <t>после чего дважды определяли концентрацию кофеина в крови и рассчитывали T_1/2(период полувыведения). Результаты представлены в таблице:</t>
  </si>
  <si>
    <t>(M - мужчины (13 чел.), F0 - небеременные женщины (9 чел.),  F1 - беременные женщины (9 чел.))</t>
  </si>
  <si>
    <t>Период полувыведения кофеина</t>
  </si>
  <si>
    <t>мужчины</t>
  </si>
  <si>
    <t>женщины н.б</t>
  </si>
  <si>
    <t>женщины 
беременные</t>
  </si>
  <si>
    <t>Ранг</t>
  </si>
  <si>
    <t>M</t>
  </si>
  <si>
    <t>F0</t>
  </si>
  <si>
    <t>F1</t>
  </si>
  <si>
    <t>RM</t>
  </si>
  <si>
    <t>RF0</t>
  </si>
  <si>
    <t>RF1</t>
  </si>
  <si>
    <t>ind</t>
  </si>
  <si>
    <t>post</t>
  </si>
  <si>
    <t>pre</t>
  </si>
  <si>
    <r>
      <t>15-ти испытуемым дали попробовать новый освежающий напиток, который скоро должен будет поступить 
в продажу. Испытуемых попросили ответить на вопрос, понравился ли им этот напиток - с вариантами ответа "да" или "нет". После этого </t>
    </r>
    <r>
      <rPr>
        <i/>
        <sz val="11"/>
        <color rgb="FF656565"/>
        <rFont val="Arial"/>
        <family val="2"/>
        <charset val="204"/>
      </rPr>
      <t>тем же</t>
    </r>
    <r>
      <rPr>
        <sz val="11"/>
        <color rgb="FF656565"/>
        <rFont val="Arial"/>
        <family val="2"/>
        <charset val="204"/>
      </rPr>
      <t> 15 участникам эксперимента показали рекламу, содержащую информацию о пользе и вкусовых качествах напитка. По завершении просмотра испытуемым снова дали выпить напиток и попросили ответить на ранее поставленный вопрос. Производитель напитка желает выяснить эффективность рекламы, изучив изменения в предпочтениях участников эксперимента после ее просмотра.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</si>
</sst>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rgb="FF000000"/>
      <name val="Arial Unicode MS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656565"/>
      <name val="Arial"/>
      <family val="2"/>
      <charset val="204"/>
    </font>
    <font>
      <i/>
      <sz val="11"/>
      <color rgb="FF656565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 applyBorder="1"/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3" fillId="6" borderId="3" xfId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6" borderId="1" xfId="1" applyNumberFormat="1" applyFont="1" applyFill="1" applyBorder="1" applyAlignment="1">
      <alignment horizontal="center" vertical="center" wrapText="1"/>
    </xf>
    <xf numFmtId="0" fontId="0" fillId="9" borderId="0" xfId="0" applyFill="1"/>
    <xf numFmtId="0" fontId="2" fillId="6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2" applyAlignment="1">
      <alignment wrapText="1"/>
    </xf>
    <xf numFmtId="0" fontId="0" fillId="0" borderId="0" xfId="0" applyFill="1"/>
    <xf numFmtId="0" fontId="0" fillId="7" borderId="6" xfId="0" applyFill="1" applyBorder="1" applyAlignment="1"/>
    <xf numFmtId="0" fontId="0" fillId="7" borderId="7" xfId="0" applyFill="1" applyBorder="1" applyAlignment="1"/>
    <xf numFmtId="0" fontId="0" fillId="7" borderId="0" xfId="0" applyFill="1" applyBorder="1" applyAlignment="1"/>
    <xf numFmtId="0" fontId="0" fillId="0" borderId="0" xfId="0" applyFill="1" applyBorder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textRotation="90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Pozdniakov/tidy_stats/master/data/stcp-Rdataset-Die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sqref="A1:C16"/>
    </sheetView>
  </sheetViews>
  <sheetFormatPr defaultRowHeight="14.5" x14ac:dyDescent="0.35"/>
  <cols>
    <col min="12" max="12" width="11.453125" customWidth="1"/>
    <col min="13" max="13" width="12.81640625" customWidth="1"/>
  </cols>
  <sheetData>
    <row r="1" spans="1:13" x14ac:dyDescent="0.35">
      <c r="A1" t="s">
        <v>254</v>
      </c>
      <c r="B1" t="s">
        <v>255</v>
      </c>
      <c r="C1" t="s">
        <v>256</v>
      </c>
      <c r="I1" s="32"/>
      <c r="J1" s="36"/>
      <c r="K1" s="36"/>
      <c r="L1" s="36"/>
      <c r="M1" s="36"/>
    </row>
    <row r="2" spans="1:13" x14ac:dyDescent="0.35">
      <c r="A2">
        <v>1</v>
      </c>
      <c r="B2">
        <v>1</v>
      </c>
      <c r="C2">
        <v>0</v>
      </c>
      <c r="I2" s="32"/>
      <c r="J2" s="36"/>
      <c r="K2" s="36"/>
      <c r="L2" s="32"/>
      <c r="M2" s="32"/>
    </row>
    <row r="3" spans="1:13" ht="28.5" customHeight="1" x14ac:dyDescent="0.35">
      <c r="A3">
        <v>2</v>
      </c>
      <c r="B3">
        <v>1</v>
      </c>
      <c r="C3">
        <v>1</v>
      </c>
      <c r="I3" s="32"/>
      <c r="J3" s="37"/>
      <c r="K3" s="32"/>
      <c r="L3" s="38"/>
      <c r="M3" s="38"/>
    </row>
    <row r="4" spans="1:13" ht="29.5" customHeight="1" x14ac:dyDescent="0.35">
      <c r="A4">
        <v>3</v>
      </c>
      <c r="B4">
        <v>1</v>
      </c>
      <c r="C4">
        <v>0</v>
      </c>
      <c r="I4" s="32"/>
      <c r="J4" s="37"/>
      <c r="K4" s="32"/>
      <c r="L4" s="38"/>
      <c r="M4" s="38"/>
    </row>
    <row r="5" spans="1:13" x14ac:dyDescent="0.35">
      <c r="A5">
        <v>4</v>
      </c>
      <c r="B5">
        <v>0</v>
      </c>
      <c r="C5">
        <v>1</v>
      </c>
      <c r="I5" s="32"/>
      <c r="J5" s="32"/>
      <c r="K5" s="32"/>
      <c r="L5" s="32"/>
      <c r="M5" s="32"/>
    </row>
    <row r="6" spans="1:13" x14ac:dyDescent="0.35">
      <c r="A6">
        <v>5</v>
      </c>
      <c r="B6">
        <v>1</v>
      </c>
      <c r="C6">
        <v>1</v>
      </c>
      <c r="I6" s="32"/>
      <c r="J6" s="36"/>
      <c r="K6" s="36"/>
      <c r="L6" s="36"/>
      <c r="M6" s="36"/>
    </row>
    <row r="7" spans="1:13" x14ac:dyDescent="0.35">
      <c r="A7">
        <v>6</v>
      </c>
      <c r="B7">
        <v>1</v>
      </c>
      <c r="C7">
        <v>0</v>
      </c>
      <c r="I7" s="32"/>
      <c r="J7" s="36"/>
      <c r="K7" s="36"/>
      <c r="L7" s="32"/>
      <c r="M7" s="32"/>
    </row>
    <row r="8" spans="1:13" x14ac:dyDescent="0.35">
      <c r="A8">
        <v>7</v>
      </c>
      <c r="B8">
        <v>1</v>
      </c>
      <c r="C8">
        <v>0</v>
      </c>
      <c r="I8" s="32"/>
      <c r="J8" s="37"/>
      <c r="K8" s="32"/>
      <c r="L8" s="38"/>
      <c r="M8" s="38"/>
    </row>
    <row r="9" spans="1:13" x14ac:dyDescent="0.35">
      <c r="A9">
        <v>8</v>
      </c>
      <c r="B9">
        <v>1</v>
      </c>
      <c r="C9">
        <v>0</v>
      </c>
      <c r="I9" s="32"/>
      <c r="J9" s="37"/>
      <c r="K9" s="32"/>
      <c r="L9" s="38"/>
      <c r="M9" s="38"/>
    </row>
    <row r="10" spans="1:13" x14ac:dyDescent="0.35">
      <c r="A10">
        <v>9</v>
      </c>
      <c r="B10">
        <v>1</v>
      </c>
      <c r="C10">
        <v>0</v>
      </c>
      <c r="I10" s="32"/>
      <c r="J10" s="32"/>
      <c r="K10" s="32"/>
      <c r="L10" s="32"/>
      <c r="M10" s="32"/>
    </row>
    <row r="11" spans="1:13" x14ac:dyDescent="0.35">
      <c r="A11">
        <v>10</v>
      </c>
      <c r="B11">
        <v>1</v>
      </c>
      <c r="C11">
        <v>1</v>
      </c>
    </row>
    <row r="12" spans="1:13" x14ac:dyDescent="0.35">
      <c r="A12">
        <v>11</v>
      </c>
      <c r="B12">
        <v>0</v>
      </c>
      <c r="C12">
        <v>0</v>
      </c>
    </row>
    <row r="13" spans="1:13" x14ac:dyDescent="0.35">
      <c r="A13">
        <v>12</v>
      </c>
      <c r="B13">
        <v>1</v>
      </c>
      <c r="C13">
        <v>1</v>
      </c>
    </row>
    <row r="14" spans="1:13" x14ac:dyDescent="0.35">
      <c r="A14">
        <v>13</v>
      </c>
      <c r="B14">
        <v>1</v>
      </c>
      <c r="C14">
        <v>0</v>
      </c>
    </row>
    <row r="15" spans="1:13" ht="17.5" customHeight="1" x14ac:dyDescent="0.35">
      <c r="A15">
        <v>14</v>
      </c>
      <c r="B15">
        <v>0</v>
      </c>
      <c r="C15">
        <v>0</v>
      </c>
    </row>
    <row r="16" spans="1:13" x14ac:dyDescent="0.35">
      <c r="A16">
        <v>15</v>
      </c>
      <c r="B16">
        <v>1</v>
      </c>
      <c r="C16">
        <v>0</v>
      </c>
    </row>
    <row r="17" spans="1:12" ht="90" customHeight="1" x14ac:dyDescent="0.35">
      <c r="A17" s="39" t="s">
        <v>257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</row>
  </sheetData>
  <mergeCells count="7">
    <mergeCell ref="A17:L17"/>
    <mergeCell ref="J1:K2"/>
    <mergeCell ref="L1:M1"/>
    <mergeCell ref="J3:J4"/>
    <mergeCell ref="J6:K7"/>
    <mergeCell ref="L6:M6"/>
    <mergeCell ref="J8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zoomScale="115" zoomScaleNormal="115" workbookViewId="0">
      <selection activeCell="H4" sqref="H4:O19"/>
    </sheetView>
  </sheetViews>
  <sheetFormatPr defaultRowHeight="14.5" x14ac:dyDescent="0.35"/>
  <cols>
    <col min="1" max="1" width="9.81640625" customWidth="1"/>
    <col min="2" max="2" width="8.81640625" customWidth="1"/>
    <col min="3" max="25" width="12.453125" customWidth="1"/>
    <col min="30" max="30" width="10.1796875" customWidth="1"/>
    <col min="32" max="32" width="11.81640625" customWidth="1"/>
  </cols>
  <sheetData>
    <row r="1" spans="1:27" x14ac:dyDescent="0.35">
      <c r="A1" s="24" t="s">
        <v>240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x14ac:dyDescent="0.35">
      <c r="A2" t="s">
        <v>241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x14ac:dyDescent="0.35">
      <c r="A3" s="24" t="s">
        <v>242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x14ac:dyDescent="0.35">
      <c r="A4" s="25" t="s">
        <v>243</v>
      </c>
      <c r="B4" s="26"/>
      <c r="C4" s="26"/>
      <c r="D4" s="27"/>
      <c r="E4" s="27"/>
      <c r="F4" s="27"/>
      <c r="G4" s="27"/>
      <c r="H4" s="27"/>
      <c r="I4" s="28"/>
      <c r="J4" s="33" t="s">
        <v>243</v>
      </c>
      <c r="K4" s="33"/>
      <c r="L4" s="33"/>
      <c r="M4" s="33"/>
      <c r="N4" s="33"/>
      <c r="O4" s="33"/>
    </row>
    <row r="5" spans="1:27" ht="29" x14ac:dyDescent="0.35">
      <c r="A5" s="29" t="s">
        <v>244</v>
      </c>
      <c r="B5" s="29" t="s">
        <v>245</v>
      </c>
      <c r="C5" s="30" t="s">
        <v>246</v>
      </c>
      <c r="D5" s="31"/>
      <c r="E5" s="31"/>
      <c r="F5" s="31"/>
      <c r="G5" s="31"/>
      <c r="H5" s="31"/>
      <c r="I5" s="31"/>
      <c r="J5" s="29" t="s">
        <v>244</v>
      </c>
      <c r="K5" s="29" t="s">
        <v>247</v>
      </c>
      <c r="L5" s="29" t="s">
        <v>245</v>
      </c>
      <c r="M5" s="29" t="s">
        <v>247</v>
      </c>
      <c r="N5" s="30" t="s">
        <v>246</v>
      </c>
      <c r="O5" s="29" t="s">
        <v>247</v>
      </c>
    </row>
    <row r="6" spans="1:27" x14ac:dyDescent="0.35">
      <c r="A6" s="29" t="s">
        <v>248</v>
      </c>
      <c r="B6" s="29" t="s">
        <v>249</v>
      </c>
      <c r="C6" s="29" t="s">
        <v>250</v>
      </c>
      <c r="D6" s="32">
        <v>1</v>
      </c>
      <c r="E6" s="29">
        <v>2.04</v>
      </c>
      <c r="F6" s="29" t="s">
        <v>248</v>
      </c>
      <c r="G6" s="32"/>
      <c r="H6" s="32"/>
      <c r="I6" s="32"/>
      <c r="J6" s="29" t="s">
        <v>248</v>
      </c>
      <c r="K6" s="29" t="s">
        <v>251</v>
      </c>
      <c r="L6" s="29" t="s">
        <v>249</v>
      </c>
      <c r="M6" s="29" t="s">
        <v>252</v>
      </c>
      <c r="N6" s="29" t="s">
        <v>250</v>
      </c>
      <c r="O6" s="30" t="s">
        <v>253</v>
      </c>
    </row>
    <row r="7" spans="1:27" x14ac:dyDescent="0.35">
      <c r="A7" s="29">
        <v>2.04</v>
      </c>
      <c r="B7" s="29">
        <v>5.3</v>
      </c>
      <c r="C7" s="29">
        <v>10.36</v>
      </c>
      <c r="D7" s="32">
        <v>2</v>
      </c>
      <c r="E7" s="29">
        <v>3.18</v>
      </c>
      <c r="F7" s="29" t="s">
        <v>248</v>
      </c>
      <c r="G7" s="32"/>
      <c r="H7" s="32"/>
      <c r="I7" s="32"/>
      <c r="J7" s="29">
        <v>2.04</v>
      </c>
      <c r="K7" s="29">
        <v>1</v>
      </c>
      <c r="L7" s="29">
        <v>5.3</v>
      </c>
      <c r="M7" s="29">
        <v>12</v>
      </c>
      <c r="N7" s="29">
        <v>10.36</v>
      </c>
      <c r="O7" s="29">
        <v>25</v>
      </c>
    </row>
    <row r="8" spans="1:27" x14ac:dyDescent="0.35">
      <c r="A8" s="29">
        <v>5.16</v>
      </c>
      <c r="B8" s="29">
        <v>7.28</v>
      </c>
      <c r="C8" s="29">
        <v>13.28</v>
      </c>
      <c r="D8" s="32">
        <v>3</v>
      </c>
      <c r="E8" s="29">
        <v>3.47</v>
      </c>
      <c r="F8" s="29" t="s">
        <v>249</v>
      </c>
      <c r="G8" s="32"/>
      <c r="H8" s="32"/>
      <c r="I8" s="32"/>
      <c r="J8" s="29">
        <v>5.16</v>
      </c>
      <c r="K8" s="29">
        <v>10</v>
      </c>
      <c r="L8" s="29">
        <v>7.28</v>
      </c>
      <c r="M8" s="29">
        <v>19</v>
      </c>
      <c r="N8" s="29">
        <v>13.28</v>
      </c>
      <c r="O8" s="29">
        <v>29</v>
      </c>
    </row>
    <row r="9" spans="1:27" x14ac:dyDescent="0.35">
      <c r="A9" s="29">
        <v>6.11</v>
      </c>
      <c r="B9" s="29">
        <v>8.98</v>
      </c>
      <c r="C9" s="29">
        <v>11.81</v>
      </c>
      <c r="D9" s="32">
        <v>4</v>
      </c>
      <c r="E9" s="29">
        <v>3.51</v>
      </c>
      <c r="F9" s="29" t="s">
        <v>248</v>
      </c>
      <c r="G9" s="32"/>
      <c r="H9" s="32"/>
      <c r="I9" s="32"/>
      <c r="J9" s="29">
        <v>6.11</v>
      </c>
      <c r="K9" s="29">
        <v>15</v>
      </c>
      <c r="L9" s="29">
        <v>8.98</v>
      </c>
      <c r="M9" s="29">
        <v>21</v>
      </c>
      <c r="N9" s="29">
        <v>11.81</v>
      </c>
      <c r="O9" s="29">
        <v>28</v>
      </c>
    </row>
    <row r="10" spans="1:27" x14ac:dyDescent="0.35">
      <c r="A10" s="29">
        <v>5.82</v>
      </c>
      <c r="B10" s="29">
        <v>6.59</v>
      </c>
      <c r="C10" s="29">
        <v>4.54</v>
      </c>
      <c r="D10" s="32">
        <v>5</v>
      </c>
      <c r="E10" s="29">
        <v>3.79</v>
      </c>
      <c r="F10" s="29" t="s">
        <v>248</v>
      </c>
      <c r="G10" s="32"/>
      <c r="H10" s="32"/>
      <c r="I10" s="32"/>
      <c r="J10" s="29">
        <v>5.82</v>
      </c>
      <c r="K10" s="29">
        <v>14</v>
      </c>
      <c r="L10" s="29">
        <v>6.59</v>
      </c>
      <c r="M10" s="29">
        <v>16</v>
      </c>
      <c r="N10" s="29">
        <v>4.54</v>
      </c>
      <c r="O10" s="29">
        <v>6</v>
      </c>
    </row>
    <row r="11" spans="1:27" x14ac:dyDescent="0.35">
      <c r="A11" s="29">
        <v>5.41</v>
      </c>
      <c r="B11" s="29">
        <v>4.59</v>
      </c>
      <c r="C11" s="29">
        <v>11.04</v>
      </c>
      <c r="D11" s="32">
        <v>6</v>
      </c>
      <c r="E11" s="29">
        <v>4.54</v>
      </c>
      <c r="F11" s="29" t="s">
        <v>250</v>
      </c>
      <c r="G11" s="32"/>
      <c r="H11" s="32"/>
      <c r="I11" s="32"/>
      <c r="J11" s="29">
        <v>5.41</v>
      </c>
      <c r="K11" s="29">
        <v>13</v>
      </c>
      <c r="L11" s="29">
        <v>4.59</v>
      </c>
      <c r="M11" s="29">
        <v>8</v>
      </c>
      <c r="N11" s="29">
        <v>11.04</v>
      </c>
      <c r="O11" s="29">
        <v>26</v>
      </c>
    </row>
    <row r="12" spans="1:27" x14ac:dyDescent="0.35">
      <c r="A12" s="29">
        <v>3.51</v>
      </c>
      <c r="B12" s="29">
        <v>5.17</v>
      </c>
      <c r="C12" s="29">
        <v>10.08</v>
      </c>
      <c r="D12" s="32">
        <v>7</v>
      </c>
      <c r="E12" s="29">
        <v>4.57</v>
      </c>
      <c r="F12" s="29" t="s">
        <v>248</v>
      </c>
      <c r="G12" s="32"/>
      <c r="H12" s="32"/>
      <c r="I12" s="32"/>
      <c r="J12" s="29">
        <v>3.51</v>
      </c>
      <c r="K12" s="29">
        <v>4</v>
      </c>
      <c r="L12" s="29">
        <v>5.17</v>
      </c>
      <c r="M12" s="29">
        <v>11</v>
      </c>
      <c r="N12" s="29">
        <v>10.08</v>
      </c>
      <c r="O12" s="29">
        <v>24</v>
      </c>
    </row>
    <row r="13" spans="1:27" x14ac:dyDescent="0.35">
      <c r="A13" s="29">
        <v>3.18</v>
      </c>
      <c r="B13" s="29">
        <v>7.25</v>
      </c>
      <c r="C13" s="29">
        <v>14.47</v>
      </c>
      <c r="D13" s="32">
        <v>8</v>
      </c>
      <c r="E13" s="29">
        <v>4.59</v>
      </c>
      <c r="F13" s="29" t="s">
        <v>249</v>
      </c>
      <c r="G13" s="32"/>
      <c r="H13" s="32"/>
      <c r="I13" s="32"/>
      <c r="J13" s="29">
        <v>3.18</v>
      </c>
      <c r="K13" s="29">
        <v>2</v>
      </c>
      <c r="L13" s="29">
        <v>7.25</v>
      </c>
      <c r="M13" s="29">
        <v>18</v>
      </c>
      <c r="N13" s="29">
        <v>14.47</v>
      </c>
      <c r="O13" s="29">
        <v>31</v>
      </c>
    </row>
    <row r="14" spans="1:27" x14ac:dyDescent="0.35">
      <c r="A14" s="29">
        <v>4.57</v>
      </c>
      <c r="B14" s="29">
        <v>3.47</v>
      </c>
      <c r="C14" s="29">
        <v>9.43</v>
      </c>
      <c r="D14" s="32">
        <v>9</v>
      </c>
      <c r="E14" s="29">
        <v>4.83</v>
      </c>
      <c r="F14" s="29" t="s">
        <v>248</v>
      </c>
      <c r="G14" s="32"/>
      <c r="H14" s="32"/>
      <c r="I14" s="32"/>
      <c r="J14" s="29">
        <v>4.57</v>
      </c>
      <c r="K14" s="29">
        <v>7</v>
      </c>
      <c r="L14" s="29">
        <v>3.47</v>
      </c>
      <c r="M14" s="29">
        <v>3</v>
      </c>
      <c r="N14" s="29">
        <v>9.43</v>
      </c>
      <c r="O14" s="29">
        <v>23</v>
      </c>
    </row>
    <row r="15" spans="1:27" x14ac:dyDescent="0.35">
      <c r="A15" s="29">
        <v>4.83</v>
      </c>
      <c r="B15" s="29">
        <v>7.6</v>
      </c>
      <c r="C15" s="29">
        <v>13.41</v>
      </c>
      <c r="D15" s="32">
        <v>10</v>
      </c>
      <c r="E15" s="29">
        <v>5.16</v>
      </c>
      <c r="F15" s="29" t="s">
        <v>248</v>
      </c>
      <c r="G15" s="32"/>
      <c r="H15" s="32"/>
      <c r="I15" s="32"/>
      <c r="J15" s="29">
        <v>4.83</v>
      </c>
      <c r="K15" s="29">
        <v>9</v>
      </c>
      <c r="L15" s="29">
        <v>7.6</v>
      </c>
      <c r="M15" s="29">
        <v>20</v>
      </c>
      <c r="N15" s="29">
        <v>13.41</v>
      </c>
      <c r="O15" s="29">
        <v>30</v>
      </c>
    </row>
    <row r="16" spans="1:27" x14ac:dyDescent="0.35">
      <c r="A16" s="29">
        <v>11.34</v>
      </c>
      <c r="B16" s="29" t="s">
        <v>230</v>
      </c>
      <c r="C16" s="29" t="s">
        <v>230</v>
      </c>
      <c r="D16" s="32">
        <v>11</v>
      </c>
      <c r="E16" s="29">
        <v>5.17</v>
      </c>
      <c r="F16" s="29" t="s">
        <v>249</v>
      </c>
      <c r="G16" s="32"/>
      <c r="H16" s="32"/>
      <c r="I16" s="32"/>
      <c r="J16" s="29">
        <v>11.34</v>
      </c>
      <c r="K16" s="29">
        <v>27</v>
      </c>
      <c r="L16" s="29" t="s">
        <v>230</v>
      </c>
      <c r="M16" s="29" t="s">
        <v>230</v>
      </c>
      <c r="N16" s="29" t="s">
        <v>230</v>
      </c>
      <c r="O16" s="29" t="s">
        <v>230</v>
      </c>
    </row>
    <row r="17" spans="1:15" x14ac:dyDescent="0.35">
      <c r="A17" s="29">
        <v>3.79</v>
      </c>
      <c r="B17" s="29" t="s">
        <v>230</v>
      </c>
      <c r="C17" s="29" t="s">
        <v>230</v>
      </c>
      <c r="D17" s="32">
        <v>12</v>
      </c>
      <c r="E17" s="29">
        <v>5.3</v>
      </c>
      <c r="F17" s="29" t="s">
        <v>249</v>
      </c>
      <c r="G17" s="32"/>
      <c r="H17" s="32"/>
      <c r="I17" s="32"/>
      <c r="J17" s="29">
        <v>3.79</v>
      </c>
      <c r="K17" s="29">
        <v>5</v>
      </c>
      <c r="L17" s="29" t="s">
        <v>230</v>
      </c>
      <c r="M17" s="29" t="s">
        <v>230</v>
      </c>
      <c r="N17" s="29" t="s">
        <v>230</v>
      </c>
      <c r="O17" s="29" t="s">
        <v>230</v>
      </c>
    </row>
    <row r="18" spans="1:15" x14ac:dyDescent="0.35">
      <c r="A18" s="29">
        <v>9.0299999999999994</v>
      </c>
      <c r="B18" s="29" t="s">
        <v>230</v>
      </c>
      <c r="C18" s="29" t="s">
        <v>230</v>
      </c>
      <c r="D18" s="32">
        <v>13</v>
      </c>
      <c r="E18" s="29">
        <v>5.41</v>
      </c>
      <c r="F18" s="29" t="s">
        <v>248</v>
      </c>
      <c r="G18" s="32"/>
      <c r="H18" s="32"/>
      <c r="I18" s="32"/>
      <c r="J18" s="29">
        <v>9.0299999999999994</v>
      </c>
      <c r="K18" s="29">
        <v>22</v>
      </c>
      <c r="L18" s="29" t="s">
        <v>230</v>
      </c>
      <c r="M18" s="29" t="s">
        <v>230</v>
      </c>
      <c r="N18" s="29" t="s">
        <v>230</v>
      </c>
      <c r="O18" s="29" t="s">
        <v>230</v>
      </c>
    </row>
    <row r="19" spans="1:15" x14ac:dyDescent="0.35">
      <c r="A19" s="29">
        <v>7.21</v>
      </c>
      <c r="B19" s="29" t="s">
        <v>230</v>
      </c>
      <c r="C19" s="29" t="s">
        <v>230</v>
      </c>
      <c r="D19" s="32">
        <v>14</v>
      </c>
      <c r="E19" s="29">
        <v>5.82</v>
      </c>
      <c r="F19" s="29" t="s">
        <v>248</v>
      </c>
      <c r="G19" s="32"/>
      <c r="H19" s="32"/>
      <c r="I19" s="32"/>
      <c r="J19" s="29">
        <v>7.21</v>
      </c>
      <c r="K19" s="29">
        <v>17</v>
      </c>
      <c r="L19" s="29" t="s">
        <v>230</v>
      </c>
      <c r="M19" s="29" t="s">
        <v>230</v>
      </c>
      <c r="N19" s="29" t="s">
        <v>230</v>
      </c>
      <c r="O19" s="29" t="s">
        <v>230</v>
      </c>
    </row>
    <row r="20" spans="1:15" x14ac:dyDescent="0.35">
      <c r="D20" s="32">
        <v>15</v>
      </c>
      <c r="E20" s="29">
        <v>6.11</v>
      </c>
      <c r="F20" s="29" t="s">
        <v>248</v>
      </c>
    </row>
    <row r="21" spans="1:15" x14ac:dyDescent="0.35">
      <c r="D21" s="32">
        <v>16</v>
      </c>
      <c r="E21" s="29">
        <v>6.59</v>
      </c>
      <c r="F21" s="29" t="s">
        <v>249</v>
      </c>
    </row>
    <row r="22" spans="1:15" x14ac:dyDescent="0.35">
      <c r="D22" s="32">
        <v>17</v>
      </c>
      <c r="E22" s="29">
        <v>7.21</v>
      </c>
      <c r="F22" s="29" t="s">
        <v>248</v>
      </c>
    </row>
    <row r="23" spans="1:15" x14ac:dyDescent="0.35">
      <c r="D23" s="32">
        <v>18</v>
      </c>
      <c r="E23" s="29">
        <v>7.25</v>
      </c>
      <c r="F23" s="29" t="s">
        <v>249</v>
      </c>
    </row>
    <row r="24" spans="1:15" x14ac:dyDescent="0.35">
      <c r="D24" s="32">
        <v>19</v>
      </c>
      <c r="E24" s="29">
        <v>7.28</v>
      </c>
      <c r="F24" s="29" t="s">
        <v>249</v>
      </c>
    </row>
    <row r="25" spans="1:15" x14ac:dyDescent="0.35">
      <c r="D25" s="32">
        <v>20</v>
      </c>
      <c r="E25" s="29">
        <v>7.6</v>
      </c>
      <c r="F25" s="29" t="s">
        <v>249</v>
      </c>
    </row>
    <row r="26" spans="1:15" x14ac:dyDescent="0.35">
      <c r="D26" s="32">
        <v>21</v>
      </c>
      <c r="E26" s="29">
        <v>8.98</v>
      </c>
      <c r="F26" s="29" t="s">
        <v>249</v>
      </c>
    </row>
    <row r="27" spans="1:15" x14ac:dyDescent="0.35">
      <c r="D27" s="32">
        <v>22</v>
      </c>
      <c r="E27" s="29">
        <v>9.0299999999999994</v>
      </c>
      <c r="F27" s="29" t="s">
        <v>248</v>
      </c>
    </row>
    <row r="28" spans="1:15" x14ac:dyDescent="0.35">
      <c r="D28" s="32">
        <v>23</v>
      </c>
      <c r="E28" s="29">
        <v>9.43</v>
      </c>
      <c r="F28" s="29" t="s">
        <v>250</v>
      </c>
    </row>
    <row r="29" spans="1:15" x14ac:dyDescent="0.35">
      <c r="D29" s="32">
        <v>24</v>
      </c>
      <c r="E29" s="29">
        <v>10.08</v>
      </c>
      <c r="F29" s="29" t="s">
        <v>250</v>
      </c>
    </row>
    <row r="30" spans="1:15" x14ac:dyDescent="0.35">
      <c r="D30" s="32">
        <v>25</v>
      </c>
      <c r="E30" s="29">
        <v>10.36</v>
      </c>
      <c r="F30" s="29" t="s">
        <v>250</v>
      </c>
    </row>
    <row r="31" spans="1:15" x14ac:dyDescent="0.35">
      <c r="D31" s="32">
        <v>26</v>
      </c>
      <c r="E31" s="29">
        <v>11.04</v>
      </c>
      <c r="F31" s="29" t="s">
        <v>250</v>
      </c>
    </row>
    <row r="32" spans="1:15" x14ac:dyDescent="0.35">
      <c r="D32" s="32">
        <v>27</v>
      </c>
      <c r="E32" s="29">
        <v>11.34</v>
      </c>
      <c r="F32" s="29" t="s">
        <v>248</v>
      </c>
    </row>
    <row r="33" spans="4:6" x14ac:dyDescent="0.35">
      <c r="D33" s="32">
        <v>28</v>
      </c>
      <c r="E33" s="29">
        <v>11.81</v>
      </c>
      <c r="F33" s="29" t="s">
        <v>250</v>
      </c>
    </row>
    <row r="34" spans="4:6" x14ac:dyDescent="0.35">
      <c r="D34" s="32">
        <v>29</v>
      </c>
      <c r="E34" s="29">
        <v>13.28</v>
      </c>
      <c r="F34" s="29" t="s">
        <v>250</v>
      </c>
    </row>
    <row r="35" spans="4:6" x14ac:dyDescent="0.35">
      <c r="D35" s="32">
        <v>30</v>
      </c>
      <c r="E35" s="29">
        <v>13.41</v>
      </c>
      <c r="F35" s="29" t="s">
        <v>250</v>
      </c>
    </row>
    <row r="36" spans="4:6" x14ac:dyDescent="0.35">
      <c r="D36" s="32">
        <v>31</v>
      </c>
      <c r="E36" s="29">
        <v>14.47</v>
      </c>
      <c r="F36" s="29" t="s">
        <v>250</v>
      </c>
    </row>
    <row r="37" spans="4:6" x14ac:dyDescent="0.35">
      <c r="E37" s="32"/>
      <c r="F37" s="32"/>
    </row>
    <row r="38" spans="4:6" x14ac:dyDescent="0.35">
      <c r="D38" s="32">
        <v>6</v>
      </c>
      <c r="E38" s="29">
        <v>4.54</v>
      </c>
      <c r="F38" s="32"/>
    </row>
    <row r="39" spans="4:6" x14ac:dyDescent="0.35">
      <c r="D39" s="32">
        <v>23</v>
      </c>
      <c r="E39" s="29">
        <v>9.43</v>
      </c>
    </row>
    <row r="40" spans="4:6" x14ac:dyDescent="0.35">
      <c r="D40" s="32">
        <v>24</v>
      </c>
      <c r="E40" s="29">
        <v>10.08</v>
      </c>
    </row>
    <row r="41" spans="4:6" x14ac:dyDescent="0.35">
      <c r="D41" s="32">
        <v>25</v>
      </c>
      <c r="E41" s="29">
        <v>10.36</v>
      </c>
    </row>
    <row r="42" spans="4:6" x14ac:dyDescent="0.35">
      <c r="D42" s="32">
        <v>26</v>
      </c>
      <c r="E42" s="29">
        <v>11.04</v>
      </c>
    </row>
    <row r="43" spans="4:6" x14ac:dyDescent="0.35">
      <c r="D43" s="32">
        <v>28</v>
      </c>
      <c r="E43" s="29">
        <v>11.81</v>
      </c>
    </row>
    <row r="44" spans="4:6" x14ac:dyDescent="0.35">
      <c r="D44" s="32">
        <v>29</v>
      </c>
      <c r="E44" s="29">
        <v>13.28</v>
      </c>
    </row>
    <row r="45" spans="4:6" x14ac:dyDescent="0.35">
      <c r="D45" s="32">
        <v>30</v>
      </c>
      <c r="E45" s="29">
        <v>13.41</v>
      </c>
    </row>
    <row r="46" spans="4:6" x14ac:dyDescent="0.35">
      <c r="D46" s="32">
        <v>31</v>
      </c>
      <c r="E46" s="29">
        <v>14.47</v>
      </c>
    </row>
  </sheetData>
  <autoFilter ref="E5:F36"/>
  <mergeCells count="1">
    <mergeCell ref="J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C8" sqref="C8"/>
    </sheetView>
  </sheetViews>
  <sheetFormatPr defaultRowHeight="14.5" x14ac:dyDescent="0.35"/>
  <sheetData>
    <row r="1" spans="1:22" x14ac:dyDescent="0.35">
      <c r="A1" t="s">
        <v>231</v>
      </c>
    </row>
    <row r="2" spans="1:22" x14ac:dyDescent="0.35">
      <c r="B2" s="34" t="s">
        <v>232</v>
      </c>
      <c r="C2" s="34"/>
      <c r="D2" s="34"/>
      <c r="E2" s="34"/>
    </row>
    <row r="3" spans="1:22" x14ac:dyDescent="0.35">
      <c r="A3" t="s">
        <v>233</v>
      </c>
      <c r="B3" t="s">
        <v>234</v>
      </c>
      <c r="C3" t="s">
        <v>235</v>
      </c>
      <c r="D3" t="s">
        <v>236</v>
      </c>
      <c r="G3" t="s">
        <v>233</v>
      </c>
      <c r="H3" t="s">
        <v>234</v>
      </c>
      <c r="I3" t="s">
        <v>237</v>
      </c>
      <c r="J3" t="s">
        <v>235</v>
      </c>
      <c r="K3" t="s">
        <v>237</v>
      </c>
      <c r="L3" t="s">
        <v>236</v>
      </c>
      <c r="M3" t="s">
        <v>237</v>
      </c>
      <c r="N3" s="24"/>
      <c r="O3" s="24"/>
      <c r="P3" s="24"/>
      <c r="Q3" s="24"/>
      <c r="R3" s="24"/>
      <c r="S3" s="24"/>
      <c r="T3" s="24"/>
      <c r="U3" s="24"/>
      <c r="V3" s="24"/>
    </row>
    <row r="4" spans="1:22" x14ac:dyDescent="0.35">
      <c r="A4">
        <v>1</v>
      </c>
      <c r="B4">
        <v>22.2</v>
      </c>
      <c r="C4">
        <v>5.4</v>
      </c>
      <c r="D4">
        <v>10.6</v>
      </c>
      <c r="G4">
        <v>1</v>
      </c>
      <c r="H4">
        <v>22.2</v>
      </c>
      <c r="I4">
        <v>3</v>
      </c>
      <c r="J4">
        <v>5.4</v>
      </c>
      <c r="K4">
        <v>1</v>
      </c>
      <c r="L4">
        <v>10.6</v>
      </c>
      <c r="M4">
        <v>2</v>
      </c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35">
      <c r="A5">
        <v>2</v>
      </c>
      <c r="B5">
        <v>17</v>
      </c>
      <c r="C5">
        <v>6.3</v>
      </c>
      <c r="D5">
        <v>6.2</v>
      </c>
      <c r="G5">
        <v>2</v>
      </c>
      <c r="H5">
        <v>17</v>
      </c>
      <c r="I5">
        <v>3</v>
      </c>
      <c r="J5">
        <v>6.3</v>
      </c>
      <c r="K5">
        <v>2</v>
      </c>
      <c r="L5">
        <v>6.2</v>
      </c>
      <c r="M5">
        <v>1</v>
      </c>
      <c r="N5" s="24"/>
      <c r="O5" s="24"/>
      <c r="P5" s="24"/>
      <c r="Q5" s="24"/>
      <c r="R5" s="24"/>
      <c r="S5" s="24"/>
      <c r="T5" s="24"/>
      <c r="U5" s="24"/>
      <c r="V5" s="24"/>
    </row>
    <row r="6" spans="1:22" x14ac:dyDescent="0.35">
      <c r="A6">
        <v>3</v>
      </c>
      <c r="B6">
        <v>14.1</v>
      </c>
      <c r="C6">
        <v>8.5</v>
      </c>
      <c r="D6">
        <v>9.3000000000000007</v>
      </c>
      <c r="G6">
        <v>3</v>
      </c>
      <c r="H6">
        <v>14.1</v>
      </c>
      <c r="I6">
        <v>3</v>
      </c>
      <c r="J6">
        <v>8.5</v>
      </c>
      <c r="K6">
        <v>1</v>
      </c>
      <c r="L6">
        <v>9.3000000000000007</v>
      </c>
      <c r="M6">
        <v>2</v>
      </c>
      <c r="N6" s="24"/>
      <c r="O6" s="24"/>
      <c r="P6" s="24"/>
      <c r="Q6" s="24"/>
      <c r="R6" s="24"/>
      <c r="S6" s="24"/>
      <c r="T6" s="24"/>
      <c r="U6" s="24"/>
      <c r="V6" s="24"/>
    </row>
    <row r="7" spans="1:22" x14ac:dyDescent="0.35">
      <c r="A7">
        <v>4</v>
      </c>
      <c r="B7">
        <v>17</v>
      </c>
      <c r="C7">
        <v>10.7</v>
      </c>
      <c r="D7">
        <v>12.3</v>
      </c>
      <c r="G7">
        <v>4</v>
      </c>
      <c r="H7">
        <v>17</v>
      </c>
      <c r="I7">
        <v>3</v>
      </c>
      <c r="J7">
        <v>10.7</v>
      </c>
      <c r="K7">
        <v>1</v>
      </c>
      <c r="L7">
        <v>12.3</v>
      </c>
      <c r="M7">
        <v>2</v>
      </c>
      <c r="N7" s="24"/>
      <c r="O7" s="24"/>
      <c r="P7" s="24"/>
      <c r="Q7" s="24"/>
      <c r="R7" s="24"/>
      <c r="S7" s="24"/>
      <c r="T7" s="24"/>
      <c r="U7" s="24"/>
      <c r="V7" s="24"/>
    </row>
    <row r="8" spans="1:22" x14ac:dyDescent="0.35">
      <c r="G8" t="s">
        <v>238</v>
      </c>
      <c r="I8">
        <f>SUM(I4:I7)</f>
        <v>12</v>
      </c>
      <c r="K8">
        <f>SUM(K4:K7)</f>
        <v>5</v>
      </c>
      <c r="M8">
        <f>SUM(M4:M7)</f>
        <v>7</v>
      </c>
      <c r="N8" s="24"/>
      <c r="O8" s="24"/>
      <c r="P8" s="24"/>
      <c r="Q8" s="24"/>
      <c r="R8" s="24"/>
      <c r="S8" s="24"/>
      <c r="T8" s="24"/>
      <c r="U8" s="24"/>
      <c r="V8" s="24"/>
    </row>
    <row r="9" spans="1:22" x14ac:dyDescent="0.35">
      <c r="G9" s="20" t="s">
        <v>239</v>
      </c>
      <c r="H9" s="20">
        <f>M9+K9+I9</f>
        <v>26</v>
      </c>
      <c r="I9">
        <f>(I8-8)^2</f>
        <v>16</v>
      </c>
      <c r="K9">
        <f>(K8-8)^2</f>
        <v>9</v>
      </c>
      <c r="M9">
        <f>(M8-8)^2</f>
        <v>1</v>
      </c>
      <c r="N9" s="24"/>
      <c r="O9" s="24"/>
      <c r="P9" s="24"/>
      <c r="Q9" s="24"/>
      <c r="R9" s="24"/>
      <c r="S9" s="24"/>
      <c r="T9" s="24"/>
      <c r="U9" s="24"/>
      <c r="V9" s="24"/>
    </row>
    <row r="10" spans="1:22" x14ac:dyDescent="0.35">
      <c r="H10">
        <f>H9*12/16/3</f>
        <v>6.5</v>
      </c>
      <c r="N10" s="24"/>
      <c r="O10" s="24"/>
      <c r="P10" s="24"/>
      <c r="Q10" s="24"/>
      <c r="R10" s="24"/>
      <c r="S10" s="24"/>
      <c r="T10" s="24"/>
      <c r="U10" s="24"/>
      <c r="V10" s="24"/>
    </row>
    <row r="11" spans="1:22" x14ac:dyDescent="0.35">
      <c r="G11" s="24"/>
      <c r="H11" s="24"/>
      <c r="I11" s="24"/>
      <c r="J11" s="24"/>
      <c r="K11" s="24"/>
      <c r="L11" s="24"/>
      <c r="M11" s="24"/>
      <c r="N11" s="24"/>
      <c r="O11" s="24"/>
    </row>
    <row r="12" spans="1:22" x14ac:dyDescent="0.35">
      <c r="G12" s="24"/>
      <c r="H12" s="24"/>
      <c r="I12" s="24"/>
      <c r="J12" s="24"/>
      <c r="K12" s="24"/>
      <c r="L12" s="24"/>
      <c r="M12" s="24"/>
      <c r="N12" s="24"/>
      <c r="O12" s="24"/>
    </row>
    <row r="13" spans="1:22" x14ac:dyDescent="0.35">
      <c r="G13" s="24"/>
      <c r="H13" s="24"/>
      <c r="I13" s="24"/>
      <c r="J13" s="24"/>
      <c r="K13" s="24"/>
      <c r="L13" s="24"/>
      <c r="M13" s="24"/>
      <c r="N13" s="24"/>
      <c r="O13" s="24"/>
    </row>
    <row r="14" spans="1:22" x14ac:dyDescent="0.35">
      <c r="G14" s="24"/>
      <c r="H14" s="24"/>
      <c r="I14" s="24"/>
      <c r="J14" s="24"/>
      <c r="K14" s="24"/>
      <c r="L14" s="24"/>
      <c r="M14" s="24"/>
      <c r="N14" s="24"/>
      <c r="O14" s="24"/>
    </row>
    <row r="15" spans="1:22" x14ac:dyDescent="0.35">
      <c r="G15" s="24"/>
      <c r="H15" s="24"/>
      <c r="I15" s="24"/>
      <c r="J15" s="24"/>
      <c r="K15" s="24"/>
      <c r="L15" s="24"/>
      <c r="M15" s="24"/>
      <c r="N15" s="24"/>
      <c r="O15" s="24"/>
    </row>
    <row r="16" spans="1:22" x14ac:dyDescent="0.35">
      <c r="G16" s="24"/>
      <c r="H16" s="24"/>
      <c r="I16" s="24"/>
      <c r="J16" s="24"/>
      <c r="K16" s="24"/>
      <c r="L16" s="24"/>
      <c r="M16" s="24"/>
      <c r="N16" s="24"/>
      <c r="O16" s="24"/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opLeftCell="A190" workbookViewId="0">
      <selection sqref="A1:E211"/>
    </sheetView>
  </sheetViews>
  <sheetFormatPr defaultRowHeight="14.5" x14ac:dyDescent="0.35"/>
  <sheetData>
    <row r="1" spans="1:5" ht="15.5" x14ac:dyDescent="0.35">
      <c r="A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spans="1:5" x14ac:dyDescent="0.35">
      <c r="A2" t="s">
        <v>5</v>
      </c>
      <c r="B2" s="4" t="s">
        <v>6</v>
      </c>
      <c r="C2" s="5">
        <v>1.4</v>
      </c>
      <c r="D2" s="6" t="s">
        <v>7</v>
      </c>
      <c r="E2" s="7">
        <v>1.1000000000000001</v>
      </c>
    </row>
    <row r="3" spans="1:5" x14ac:dyDescent="0.35">
      <c r="A3" t="s">
        <v>8</v>
      </c>
      <c r="B3" s="8" t="s">
        <v>9</v>
      </c>
      <c r="C3" s="5">
        <v>1.6</v>
      </c>
      <c r="D3" s="9" t="s">
        <v>10</v>
      </c>
      <c r="E3" s="7">
        <v>0.6</v>
      </c>
    </row>
    <row r="4" spans="1:5" x14ac:dyDescent="0.35">
      <c r="A4" t="s">
        <v>11</v>
      </c>
      <c r="B4" s="8" t="s">
        <v>9</v>
      </c>
      <c r="C4" s="5">
        <v>1.4</v>
      </c>
      <c r="D4" s="6" t="s">
        <v>7</v>
      </c>
      <c r="E4" s="10">
        <v>1.1000000000000001</v>
      </c>
    </row>
    <row r="5" spans="1:5" x14ac:dyDescent="0.35">
      <c r="A5" t="s">
        <v>12</v>
      </c>
      <c r="B5" s="8" t="s">
        <v>9</v>
      </c>
      <c r="C5" s="5">
        <v>1.5</v>
      </c>
      <c r="D5" s="6" t="s">
        <v>7</v>
      </c>
      <c r="E5" s="10">
        <v>0.7</v>
      </c>
    </row>
    <row r="6" spans="1:5" x14ac:dyDescent="0.35">
      <c r="A6" t="s">
        <v>13</v>
      </c>
      <c r="B6" s="8" t="s">
        <v>9</v>
      </c>
      <c r="C6" s="5">
        <v>1.5</v>
      </c>
      <c r="D6" s="6" t="s">
        <v>7</v>
      </c>
      <c r="E6" s="7">
        <v>0.9</v>
      </c>
    </row>
    <row r="7" spans="1:5" x14ac:dyDescent="0.35">
      <c r="A7" t="s">
        <v>14</v>
      </c>
      <c r="B7" s="8" t="s">
        <v>9</v>
      </c>
      <c r="C7" s="5">
        <v>1.4</v>
      </c>
      <c r="D7" s="6" t="s">
        <v>7</v>
      </c>
      <c r="E7" s="7">
        <v>1.8</v>
      </c>
    </row>
    <row r="8" spans="1:5" x14ac:dyDescent="0.35">
      <c r="A8" t="s">
        <v>15</v>
      </c>
      <c r="B8" s="11" t="s">
        <v>16</v>
      </c>
      <c r="C8" s="5">
        <v>1.8</v>
      </c>
      <c r="D8" s="9" t="s">
        <v>10</v>
      </c>
      <c r="E8" s="12">
        <v>0.8</v>
      </c>
    </row>
    <row r="9" spans="1:5" x14ac:dyDescent="0.35">
      <c r="A9" t="s">
        <v>17</v>
      </c>
      <c r="B9" s="8" t="s">
        <v>9</v>
      </c>
      <c r="C9" s="5">
        <v>1.5</v>
      </c>
      <c r="D9" s="6" t="s">
        <v>7</v>
      </c>
      <c r="E9" s="7">
        <v>0.5</v>
      </c>
    </row>
    <row r="10" spans="1:5" x14ac:dyDescent="0.35">
      <c r="A10" t="s">
        <v>18</v>
      </c>
      <c r="B10" s="8" t="s">
        <v>9</v>
      </c>
      <c r="C10" s="5">
        <v>1.4</v>
      </c>
      <c r="D10" s="9" t="s">
        <v>10</v>
      </c>
      <c r="E10" s="7">
        <v>0.9</v>
      </c>
    </row>
    <row r="11" spans="1:5" x14ac:dyDescent="0.35">
      <c r="A11" t="s">
        <v>19</v>
      </c>
      <c r="B11" s="8" t="s">
        <v>9</v>
      </c>
      <c r="C11" s="5">
        <v>1.8</v>
      </c>
      <c r="D11" s="13" t="s">
        <v>6</v>
      </c>
      <c r="E11" s="7">
        <v>1.9</v>
      </c>
    </row>
    <row r="12" spans="1:5" x14ac:dyDescent="0.35">
      <c r="A12" t="s">
        <v>20</v>
      </c>
      <c r="B12" s="4" t="s">
        <v>21</v>
      </c>
      <c r="C12" s="5">
        <v>1.3</v>
      </c>
      <c r="D12" s="6" t="s">
        <v>7</v>
      </c>
      <c r="E12" s="7">
        <v>1.1000000000000001</v>
      </c>
    </row>
    <row r="13" spans="1:5" x14ac:dyDescent="0.35">
      <c r="A13" t="s">
        <v>22</v>
      </c>
      <c r="B13" s="4" t="s">
        <v>21</v>
      </c>
      <c r="C13" s="5">
        <v>1.3</v>
      </c>
      <c r="D13" s="6" t="s">
        <v>7</v>
      </c>
      <c r="E13" s="7">
        <v>1.2</v>
      </c>
    </row>
    <row r="14" spans="1:5" x14ac:dyDescent="0.35">
      <c r="A14" t="s">
        <v>23</v>
      </c>
      <c r="B14" s="8" t="s">
        <v>9</v>
      </c>
      <c r="C14" s="5">
        <v>1.2</v>
      </c>
      <c r="D14" s="6" t="s">
        <v>7</v>
      </c>
      <c r="E14" s="7">
        <v>1.3</v>
      </c>
    </row>
    <row r="15" spans="1:5" x14ac:dyDescent="0.35">
      <c r="A15" t="s">
        <v>24</v>
      </c>
      <c r="B15" s="8" t="s">
        <v>9</v>
      </c>
      <c r="C15" s="5">
        <v>1.4</v>
      </c>
      <c r="D15" s="13" t="s">
        <v>6</v>
      </c>
      <c r="E15" s="7">
        <v>1.1000000000000001</v>
      </c>
    </row>
    <row r="16" spans="1:5" x14ac:dyDescent="0.35">
      <c r="A16" t="s">
        <v>25</v>
      </c>
      <c r="B16" s="4" t="s">
        <v>21</v>
      </c>
      <c r="C16" s="5">
        <v>1.5</v>
      </c>
      <c r="D16" s="6" t="s">
        <v>7</v>
      </c>
      <c r="E16" s="7">
        <v>1.1000000000000001</v>
      </c>
    </row>
    <row r="17" spans="1:5" x14ac:dyDescent="0.35">
      <c r="A17" t="s">
        <v>26</v>
      </c>
      <c r="B17" s="8" t="s">
        <v>9</v>
      </c>
      <c r="C17" s="5">
        <v>1.4</v>
      </c>
      <c r="D17" s="6" t="s">
        <v>16</v>
      </c>
      <c r="E17" s="7">
        <v>1.1000000000000001</v>
      </c>
    </row>
    <row r="18" spans="1:5" x14ac:dyDescent="0.35">
      <c r="A18" t="s">
        <v>27</v>
      </c>
      <c r="B18" s="8" t="s">
        <v>9</v>
      </c>
      <c r="C18" s="5">
        <v>1.6</v>
      </c>
      <c r="D18" s="9" t="s">
        <v>10</v>
      </c>
      <c r="E18" s="10">
        <v>0.6</v>
      </c>
    </row>
    <row r="19" spans="1:5" x14ac:dyDescent="0.35">
      <c r="A19" t="s">
        <v>28</v>
      </c>
      <c r="B19" s="4" t="s">
        <v>21</v>
      </c>
      <c r="C19" s="5">
        <v>1.6</v>
      </c>
      <c r="D19" s="9" t="s">
        <v>10</v>
      </c>
      <c r="E19" s="10">
        <v>1.5</v>
      </c>
    </row>
    <row r="20" spans="1:5" x14ac:dyDescent="0.35">
      <c r="A20" t="s">
        <v>29</v>
      </c>
      <c r="B20" s="8" t="s">
        <v>9</v>
      </c>
      <c r="C20" s="5">
        <v>1.4</v>
      </c>
      <c r="D20" s="6" t="s">
        <v>7</v>
      </c>
      <c r="E20" s="10">
        <v>0.3</v>
      </c>
    </row>
    <row r="21" spans="1:5" x14ac:dyDescent="0.35">
      <c r="A21" t="s">
        <v>30</v>
      </c>
      <c r="B21" s="8" t="s">
        <v>9</v>
      </c>
      <c r="C21" s="5">
        <v>1.2</v>
      </c>
      <c r="D21" s="6" t="s">
        <v>7</v>
      </c>
      <c r="E21" s="10">
        <v>0.4</v>
      </c>
    </row>
    <row r="22" spans="1:5" x14ac:dyDescent="0.35">
      <c r="A22" t="s">
        <v>31</v>
      </c>
      <c r="B22" s="4" t="s">
        <v>21</v>
      </c>
      <c r="C22" s="5">
        <v>1.4</v>
      </c>
      <c r="D22" s="6" t="s">
        <v>7</v>
      </c>
      <c r="E22" s="10">
        <v>1.7</v>
      </c>
    </row>
    <row r="23" spans="1:5" x14ac:dyDescent="0.35">
      <c r="A23" t="s">
        <v>32</v>
      </c>
      <c r="B23" s="4" t="s">
        <v>21</v>
      </c>
      <c r="C23" s="5">
        <v>1.6</v>
      </c>
      <c r="D23" s="6" t="s">
        <v>7</v>
      </c>
      <c r="E23" s="10">
        <v>1.1000000000000001</v>
      </c>
    </row>
    <row r="24" spans="1:5" x14ac:dyDescent="0.35">
      <c r="A24" t="s">
        <v>33</v>
      </c>
      <c r="B24" s="4" t="s">
        <v>21</v>
      </c>
      <c r="C24" s="14">
        <v>1.5</v>
      </c>
      <c r="D24" s="6" t="s">
        <v>7</v>
      </c>
      <c r="E24" s="10">
        <v>0.8</v>
      </c>
    </row>
    <row r="25" spans="1:5" x14ac:dyDescent="0.35">
      <c r="A25" t="s">
        <v>34</v>
      </c>
      <c r="B25" s="8" t="s">
        <v>9</v>
      </c>
      <c r="C25" s="5">
        <v>1.4</v>
      </c>
      <c r="D25" s="6" t="s">
        <v>7</v>
      </c>
      <c r="E25" s="10">
        <v>1.9</v>
      </c>
    </row>
    <row r="26" spans="1:5" x14ac:dyDescent="0.35">
      <c r="A26" t="s">
        <v>35</v>
      </c>
      <c r="B26" s="8" t="s">
        <v>9</v>
      </c>
      <c r="C26" s="5">
        <v>1.7</v>
      </c>
      <c r="D26" s="9" t="s">
        <v>10</v>
      </c>
      <c r="E26" s="15">
        <v>1.3</v>
      </c>
    </row>
    <row r="27" spans="1:5" x14ac:dyDescent="0.35">
      <c r="A27" t="s">
        <v>36</v>
      </c>
      <c r="B27" s="4" t="s">
        <v>21</v>
      </c>
      <c r="C27" s="5">
        <v>1.6</v>
      </c>
      <c r="D27" s="6" t="s">
        <v>7</v>
      </c>
      <c r="E27" s="15">
        <v>1.6</v>
      </c>
    </row>
    <row r="28" spans="1:5" x14ac:dyDescent="0.35">
      <c r="A28" t="s">
        <v>37</v>
      </c>
      <c r="B28" s="4" t="s">
        <v>21</v>
      </c>
      <c r="C28" s="14">
        <v>1.6</v>
      </c>
      <c r="D28" s="6" t="s">
        <v>7</v>
      </c>
      <c r="E28" s="15">
        <v>0.9</v>
      </c>
    </row>
    <row r="29" spans="1:5" x14ac:dyDescent="0.35">
      <c r="A29" t="s">
        <v>38</v>
      </c>
      <c r="B29" s="8" t="s">
        <v>9</v>
      </c>
      <c r="C29" s="5">
        <v>1.4</v>
      </c>
      <c r="D29" s="6" t="s">
        <v>7</v>
      </c>
      <c r="E29" s="15">
        <v>1.4</v>
      </c>
    </row>
    <row r="30" spans="1:5" x14ac:dyDescent="0.35">
      <c r="A30" t="s">
        <v>39</v>
      </c>
      <c r="B30" s="8" t="s">
        <v>9</v>
      </c>
      <c r="C30" s="5">
        <v>1.6</v>
      </c>
      <c r="D30" s="13" t="s">
        <v>6</v>
      </c>
      <c r="E30" s="10">
        <v>1.7</v>
      </c>
    </row>
    <row r="31" spans="1:5" x14ac:dyDescent="0.35">
      <c r="A31" t="s">
        <v>40</v>
      </c>
      <c r="B31" s="4" t="s">
        <v>21</v>
      </c>
      <c r="C31" s="5">
        <v>1.7</v>
      </c>
      <c r="D31" s="6" t="s">
        <v>7</v>
      </c>
      <c r="E31" s="10">
        <v>1.3</v>
      </c>
    </row>
    <row r="32" spans="1:5" x14ac:dyDescent="0.35">
      <c r="A32" t="s">
        <v>41</v>
      </c>
      <c r="B32" s="4" t="s">
        <v>21</v>
      </c>
      <c r="C32" s="5">
        <v>1.4</v>
      </c>
      <c r="D32" s="6" t="s">
        <v>7</v>
      </c>
      <c r="E32" s="7">
        <v>1.1000000000000001</v>
      </c>
    </row>
    <row r="33" spans="1:5" x14ac:dyDescent="0.35">
      <c r="A33" t="s">
        <v>42</v>
      </c>
      <c r="B33" s="8" t="s">
        <v>9</v>
      </c>
      <c r="C33" s="5">
        <v>1.6</v>
      </c>
      <c r="D33" s="6" t="s">
        <v>7</v>
      </c>
      <c r="E33" s="7">
        <v>0.6</v>
      </c>
    </row>
    <row r="34" spans="1:5" x14ac:dyDescent="0.35">
      <c r="A34" t="s">
        <v>43</v>
      </c>
      <c r="B34" s="8" t="s">
        <v>9</v>
      </c>
      <c r="C34" s="5">
        <v>1.4</v>
      </c>
      <c r="D34" s="6" t="s">
        <v>7</v>
      </c>
      <c r="E34" s="10">
        <v>1.1000000000000001</v>
      </c>
    </row>
    <row r="35" spans="1:5" x14ac:dyDescent="0.35">
      <c r="A35" t="s">
        <v>44</v>
      </c>
      <c r="B35" s="8" t="s">
        <v>9</v>
      </c>
      <c r="C35" s="5">
        <v>1.5</v>
      </c>
      <c r="D35" s="6" t="s">
        <v>7</v>
      </c>
      <c r="E35" s="10">
        <v>0.7</v>
      </c>
    </row>
    <row r="36" spans="1:5" x14ac:dyDescent="0.35">
      <c r="A36" t="s">
        <v>45</v>
      </c>
      <c r="B36" s="8" t="s">
        <v>9</v>
      </c>
      <c r="C36" s="5">
        <v>1.5</v>
      </c>
      <c r="D36" s="6" t="s">
        <v>7</v>
      </c>
      <c r="E36" s="7">
        <v>0.9</v>
      </c>
    </row>
    <row r="37" spans="1:5" x14ac:dyDescent="0.35">
      <c r="A37" t="s">
        <v>46</v>
      </c>
      <c r="B37" s="8" t="s">
        <v>9</v>
      </c>
      <c r="C37" s="5">
        <v>1.4</v>
      </c>
      <c r="D37" s="6" t="s">
        <v>7</v>
      </c>
      <c r="E37" s="7">
        <v>1.8</v>
      </c>
    </row>
    <row r="38" spans="1:5" x14ac:dyDescent="0.35">
      <c r="A38" t="s">
        <v>47</v>
      </c>
      <c r="B38" s="11" t="s">
        <v>16</v>
      </c>
      <c r="C38" s="5">
        <v>1.8</v>
      </c>
      <c r="D38" s="6" t="s">
        <v>7</v>
      </c>
      <c r="E38" s="12">
        <v>0.8</v>
      </c>
    </row>
    <row r="39" spans="1:5" x14ac:dyDescent="0.35">
      <c r="A39" t="s">
        <v>48</v>
      </c>
      <c r="B39" s="8" t="s">
        <v>9</v>
      </c>
      <c r="C39" s="5">
        <v>1.5</v>
      </c>
      <c r="D39" s="6" t="s">
        <v>7</v>
      </c>
      <c r="E39" s="7">
        <v>0.5</v>
      </c>
    </row>
    <row r="40" spans="1:5" x14ac:dyDescent="0.35">
      <c r="A40" t="s">
        <v>49</v>
      </c>
      <c r="B40" s="8" t="s">
        <v>9</v>
      </c>
      <c r="C40" s="5">
        <v>1.4</v>
      </c>
      <c r="D40" s="6" t="s">
        <v>7</v>
      </c>
      <c r="E40" s="7">
        <v>0.9</v>
      </c>
    </row>
    <row r="41" spans="1:5" x14ac:dyDescent="0.35">
      <c r="A41" t="s">
        <v>50</v>
      </c>
      <c r="B41" s="8" t="s">
        <v>9</v>
      </c>
      <c r="C41" s="5">
        <v>1.8</v>
      </c>
      <c r="D41" s="13" t="s">
        <v>6</v>
      </c>
      <c r="E41" s="7">
        <v>1.9</v>
      </c>
    </row>
    <row r="42" spans="1:5" x14ac:dyDescent="0.35">
      <c r="A42" t="s">
        <v>51</v>
      </c>
      <c r="B42" s="4" t="s">
        <v>21</v>
      </c>
      <c r="C42" s="5">
        <v>1.3</v>
      </c>
      <c r="D42" s="6" t="s">
        <v>16</v>
      </c>
      <c r="E42" s="7">
        <v>1.1000000000000001</v>
      </c>
    </row>
    <row r="43" spans="1:5" x14ac:dyDescent="0.35">
      <c r="A43" t="s">
        <v>52</v>
      </c>
      <c r="B43" s="4" t="s">
        <v>21</v>
      </c>
      <c r="C43" s="5">
        <v>1.3</v>
      </c>
      <c r="D43" s="6" t="s">
        <v>7</v>
      </c>
      <c r="E43" s="7">
        <v>1.2</v>
      </c>
    </row>
    <row r="44" spans="1:5" x14ac:dyDescent="0.35">
      <c r="A44" t="s">
        <v>53</v>
      </c>
      <c r="B44" s="8" t="s">
        <v>9</v>
      </c>
      <c r="C44" s="5">
        <v>1.2</v>
      </c>
      <c r="D44" s="6" t="s">
        <v>7</v>
      </c>
      <c r="E44" s="7">
        <v>1.3</v>
      </c>
    </row>
    <row r="45" spans="1:5" x14ac:dyDescent="0.35">
      <c r="A45" t="s">
        <v>54</v>
      </c>
      <c r="B45" s="8" t="s">
        <v>9</v>
      </c>
      <c r="C45" s="5">
        <v>1.4</v>
      </c>
      <c r="D45" s="6" t="s">
        <v>7</v>
      </c>
      <c r="E45" s="7">
        <v>1.1000000000000001</v>
      </c>
    </row>
    <row r="46" spans="1:5" x14ac:dyDescent="0.35">
      <c r="A46" t="s">
        <v>55</v>
      </c>
      <c r="B46" s="4" t="s">
        <v>21</v>
      </c>
      <c r="C46" s="5">
        <v>1.5</v>
      </c>
      <c r="D46" s="6" t="s">
        <v>7</v>
      </c>
      <c r="E46" s="7">
        <v>1.1000000000000001</v>
      </c>
    </row>
    <row r="47" spans="1:5" x14ac:dyDescent="0.35">
      <c r="A47" t="s">
        <v>56</v>
      </c>
      <c r="B47" s="8" t="s">
        <v>9</v>
      </c>
      <c r="C47" s="5">
        <v>1.4</v>
      </c>
      <c r="D47" s="6" t="s">
        <v>7</v>
      </c>
      <c r="E47" s="7">
        <v>1.1000000000000001</v>
      </c>
    </row>
    <row r="48" spans="1:5" x14ac:dyDescent="0.35">
      <c r="A48" t="s">
        <v>57</v>
      </c>
      <c r="B48" s="8" t="s">
        <v>9</v>
      </c>
      <c r="C48" s="5">
        <v>1.6</v>
      </c>
      <c r="D48" s="9" t="s">
        <v>10</v>
      </c>
      <c r="E48" s="10">
        <v>0.6</v>
      </c>
    </row>
    <row r="49" spans="1:5" x14ac:dyDescent="0.35">
      <c r="A49" t="s">
        <v>58</v>
      </c>
      <c r="B49" s="4" t="s">
        <v>21</v>
      </c>
      <c r="C49" s="5">
        <v>1.6</v>
      </c>
      <c r="D49" s="9" t="s">
        <v>10</v>
      </c>
      <c r="E49" s="10">
        <v>1.5</v>
      </c>
    </row>
    <row r="50" spans="1:5" x14ac:dyDescent="0.35">
      <c r="A50" t="s">
        <v>59</v>
      </c>
      <c r="B50" s="8" t="s">
        <v>9</v>
      </c>
      <c r="C50" s="5">
        <v>1.4</v>
      </c>
      <c r="D50" s="6" t="s">
        <v>7</v>
      </c>
      <c r="E50" s="10">
        <v>0.3</v>
      </c>
    </row>
    <row r="51" spans="1:5" x14ac:dyDescent="0.35">
      <c r="A51" t="s">
        <v>60</v>
      </c>
      <c r="B51" s="8" t="s">
        <v>9</v>
      </c>
      <c r="C51" s="5">
        <v>1.2</v>
      </c>
      <c r="D51" s="6" t="s">
        <v>7</v>
      </c>
      <c r="E51" s="10">
        <v>0.4</v>
      </c>
    </row>
    <row r="52" spans="1:5" x14ac:dyDescent="0.35">
      <c r="A52" t="s">
        <v>61</v>
      </c>
      <c r="B52" s="4" t="s">
        <v>21</v>
      </c>
      <c r="C52" s="5">
        <v>1.4</v>
      </c>
      <c r="D52" s="6" t="s">
        <v>7</v>
      </c>
      <c r="E52" s="10">
        <v>1.7</v>
      </c>
    </row>
    <row r="53" spans="1:5" x14ac:dyDescent="0.35">
      <c r="A53" t="s">
        <v>62</v>
      </c>
      <c r="B53" s="4" t="s">
        <v>21</v>
      </c>
      <c r="C53" s="5">
        <v>1.6</v>
      </c>
      <c r="D53" s="9" t="s">
        <v>10</v>
      </c>
      <c r="E53" s="10">
        <v>1.1000000000000001</v>
      </c>
    </row>
    <row r="54" spans="1:5" x14ac:dyDescent="0.35">
      <c r="A54" t="s">
        <v>63</v>
      </c>
      <c r="B54" s="4" t="s">
        <v>21</v>
      </c>
      <c r="C54" s="14">
        <v>1.5</v>
      </c>
      <c r="D54" s="6" t="s">
        <v>7</v>
      </c>
      <c r="E54" s="10">
        <v>0.8</v>
      </c>
    </row>
    <row r="55" spans="1:5" x14ac:dyDescent="0.35">
      <c r="A55" t="s">
        <v>64</v>
      </c>
      <c r="B55" s="8" t="s">
        <v>9</v>
      </c>
      <c r="C55" s="5">
        <v>1.4</v>
      </c>
      <c r="D55" s="6" t="s">
        <v>7</v>
      </c>
      <c r="E55" s="10">
        <v>1.9</v>
      </c>
    </row>
    <row r="56" spans="1:5" x14ac:dyDescent="0.35">
      <c r="A56" t="s">
        <v>65</v>
      </c>
      <c r="B56" s="11" t="s">
        <v>16</v>
      </c>
      <c r="C56" s="5">
        <v>1.7</v>
      </c>
      <c r="D56" s="9" t="s">
        <v>10</v>
      </c>
      <c r="E56" s="15">
        <v>1.3</v>
      </c>
    </row>
    <row r="57" spans="1:5" x14ac:dyDescent="0.35">
      <c r="A57" t="s">
        <v>66</v>
      </c>
      <c r="B57" s="4" t="s">
        <v>21</v>
      </c>
      <c r="C57" s="5">
        <v>1.6</v>
      </c>
      <c r="D57" s="6" t="s">
        <v>7</v>
      </c>
      <c r="E57" s="15">
        <v>1.6</v>
      </c>
    </row>
    <row r="58" spans="1:5" x14ac:dyDescent="0.35">
      <c r="A58" t="s">
        <v>67</v>
      </c>
      <c r="B58" s="4" t="s">
        <v>21</v>
      </c>
      <c r="C58" s="14">
        <v>1.6</v>
      </c>
      <c r="D58" s="6" t="s">
        <v>7</v>
      </c>
      <c r="E58" s="15">
        <v>0.9</v>
      </c>
    </row>
    <row r="59" spans="1:5" x14ac:dyDescent="0.35">
      <c r="A59" t="s">
        <v>68</v>
      </c>
      <c r="B59" s="8" t="s">
        <v>9</v>
      </c>
      <c r="C59" s="5">
        <v>1.4</v>
      </c>
      <c r="D59" s="6" t="s">
        <v>7</v>
      </c>
      <c r="E59" s="15">
        <v>1.4</v>
      </c>
    </row>
    <row r="60" spans="1:5" x14ac:dyDescent="0.35">
      <c r="A60" t="s">
        <v>69</v>
      </c>
      <c r="B60" s="11" t="s">
        <v>16</v>
      </c>
      <c r="C60" s="5">
        <v>1.6</v>
      </c>
      <c r="D60" s="9" t="s">
        <v>10</v>
      </c>
      <c r="E60" s="10">
        <v>1.7</v>
      </c>
    </row>
    <row r="61" spans="1:5" x14ac:dyDescent="0.35">
      <c r="A61" t="s">
        <v>70</v>
      </c>
      <c r="B61" s="4" t="s">
        <v>21</v>
      </c>
      <c r="C61" s="5">
        <v>1.7</v>
      </c>
      <c r="D61" s="9" t="s">
        <v>10</v>
      </c>
      <c r="E61" s="10">
        <v>1.3</v>
      </c>
    </row>
    <row r="62" spans="1:5" x14ac:dyDescent="0.35">
      <c r="A62" t="s">
        <v>71</v>
      </c>
      <c r="B62" s="11" t="s">
        <v>16</v>
      </c>
      <c r="C62" s="16">
        <v>8.4</v>
      </c>
      <c r="D62" s="13" t="s">
        <v>6</v>
      </c>
      <c r="E62" s="16">
        <v>1.2</v>
      </c>
    </row>
    <row r="63" spans="1:5" x14ac:dyDescent="0.35">
      <c r="A63" t="s">
        <v>72</v>
      </c>
      <c r="B63" s="11" t="s">
        <v>16</v>
      </c>
      <c r="C63" s="16">
        <v>6.4</v>
      </c>
      <c r="D63" s="9" t="s">
        <v>10</v>
      </c>
      <c r="E63" s="16">
        <v>3.1</v>
      </c>
    </row>
    <row r="64" spans="1:5" x14ac:dyDescent="0.35">
      <c r="A64" t="s">
        <v>73</v>
      </c>
      <c r="B64" s="8" t="s">
        <v>9</v>
      </c>
      <c r="C64" s="16">
        <v>6.7</v>
      </c>
      <c r="D64" s="9" t="s">
        <v>10</v>
      </c>
      <c r="E64" s="16">
        <v>6.3</v>
      </c>
    </row>
    <row r="65" spans="1:5" x14ac:dyDescent="0.35">
      <c r="A65" t="s">
        <v>74</v>
      </c>
      <c r="B65" s="11" t="s">
        <v>16</v>
      </c>
      <c r="C65" s="17">
        <v>7.7</v>
      </c>
      <c r="D65" s="9" t="s">
        <v>10</v>
      </c>
      <c r="E65" s="18">
        <v>2.4</v>
      </c>
    </row>
    <row r="66" spans="1:5" x14ac:dyDescent="0.35">
      <c r="A66" t="s">
        <v>75</v>
      </c>
      <c r="B66" s="8" t="s">
        <v>9</v>
      </c>
      <c r="C66" s="17">
        <v>8.6999999999999993</v>
      </c>
      <c r="D66" s="9" t="s">
        <v>10</v>
      </c>
      <c r="E66" s="18">
        <v>0.6</v>
      </c>
    </row>
    <row r="67" spans="1:5" x14ac:dyDescent="0.35">
      <c r="A67" t="s">
        <v>76</v>
      </c>
      <c r="B67" s="4" t="s">
        <v>21</v>
      </c>
      <c r="C67" s="17">
        <v>6.4</v>
      </c>
      <c r="D67" s="9" t="s">
        <v>10</v>
      </c>
      <c r="E67" s="18">
        <v>1.5</v>
      </c>
    </row>
    <row r="68" spans="1:5" x14ac:dyDescent="0.35">
      <c r="A68" t="s">
        <v>77</v>
      </c>
      <c r="B68" s="8" t="s">
        <v>9</v>
      </c>
      <c r="C68" s="17">
        <v>6.9</v>
      </c>
      <c r="D68" s="9" t="s">
        <v>9</v>
      </c>
      <c r="E68" s="18">
        <v>3.5</v>
      </c>
    </row>
    <row r="69" spans="1:5" x14ac:dyDescent="0.35">
      <c r="A69" t="s">
        <v>78</v>
      </c>
      <c r="B69" s="8" t="s">
        <v>9</v>
      </c>
      <c r="C69" s="17">
        <v>8.6999999999999993</v>
      </c>
      <c r="D69" s="9" t="s">
        <v>10</v>
      </c>
      <c r="E69" s="18">
        <v>5.3</v>
      </c>
    </row>
    <row r="70" spans="1:5" x14ac:dyDescent="0.35">
      <c r="A70" t="s">
        <v>79</v>
      </c>
      <c r="B70" s="11" t="s">
        <v>16</v>
      </c>
      <c r="C70" s="17">
        <v>6.4</v>
      </c>
      <c r="D70" s="9" t="s">
        <v>10</v>
      </c>
      <c r="E70" s="18">
        <v>4.4000000000000004</v>
      </c>
    </row>
    <row r="71" spans="1:5" x14ac:dyDescent="0.35">
      <c r="A71" t="s">
        <v>80</v>
      </c>
      <c r="B71" s="11" t="s">
        <v>16</v>
      </c>
      <c r="C71" s="17">
        <v>6.7</v>
      </c>
      <c r="D71" s="9" t="s">
        <v>10</v>
      </c>
      <c r="E71" s="18">
        <v>1.7</v>
      </c>
    </row>
    <row r="72" spans="1:5" x14ac:dyDescent="0.35">
      <c r="A72" t="s">
        <v>81</v>
      </c>
      <c r="B72" s="11" t="s">
        <v>16</v>
      </c>
      <c r="C72" s="17">
        <v>8.4</v>
      </c>
      <c r="D72" s="13" t="s">
        <v>6</v>
      </c>
      <c r="E72" s="18">
        <v>2.9</v>
      </c>
    </row>
    <row r="73" spans="1:5" x14ac:dyDescent="0.35">
      <c r="A73" t="s">
        <v>82</v>
      </c>
      <c r="B73" s="11" t="s">
        <v>16</v>
      </c>
      <c r="C73" s="17">
        <v>7.7</v>
      </c>
      <c r="D73" s="9" t="s">
        <v>10</v>
      </c>
      <c r="E73" s="18">
        <v>1.6</v>
      </c>
    </row>
    <row r="74" spans="1:5" x14ac:dyDescent="0.35">
      <c r="A74" t="s">
        <v>83</v>
      </c>
      <c r="B74" s="8" t="s">
        <v>9</v>
      </c>
      <c r="C74" s="17">
        <v>9.6999999999999993</v>
      </c>
      <c r="D74" s="9" t="s">
        <v>10</v>
      </c>
      <c r="E74" s="18">
        <v>4.7</v>
      </c>
    </row>
    <row r="75" spans="1:5" x14ac:dyDescent="0.35">
      <c r="A75" t="s">
        <v>84</v>
      </c>
      <c r="B75" s="11" t="s">
        <v>16</v>
      </c>
      <c r="C75" s="17">
        <v>6.7</v>
      </c>
      <c r="D75" s="9" t="s">
        <v>10</v>
      </c>
      <c r="E75" s="18">
        <v>1.9</v>
      </c>
    </row>
    <row r="76" spans="1:5" x14ac:dyDescent="0.35">
      <c r="A76" t="s">
        <v>85</v>
      </c>
      <c r="B76" s="8" t="s">
        <v>9</v>
      </c>
      <c r="C76" s="17">
        <v>6.7</v>
      </c>
      <c r="D76" s="9" t="s">
        <v>10</v>
      </c>
      <c r="E76" s="18">
        <v>3.8</v>
      </c>
    </row>
    <row r="77" spans="1:5" x14ac:dyDescent="0.35">
      <c r="A77" t="s">
        <v>86</v>
      </c>
      <c r="B77" s="8" t="s">
        <v>9</v>
      </c>
      <c r="C77" s="17">
        <v>4.4000000000000004</v>
      </c>
      <c r="D77" s="9" t="s">
        <v>10</v>
      </c>
      <c r="E77" s="18">
        <v>2.4</v>
      </c>
    </row>
    <row r="78" spans="1:5" x14ac:dyDescent="0.35">
      <c r="A78" t="s">
        <v>87</v>
      </c>
      <c r="B78" s="11" t="s">
        <v>16</v>
      </c>
      <c r="C78" s="17">
        <v>8.6999999999999993</v>
      </c>
      <c r="D78" s="9" t="s">
        <v>10</v>
      </c>
      <c r="E78" s="18">
        <v>1.9</v>
      </c>
    </row>
    <row r="79" spans="1:5" x14ac:dyDescent="0.35">
      <c r="A79" t="s">
        <v>88</v>
      </c>
      <c r="B79" s="8" t="s">
        <v>9</v>
      </c>
      <c r="C79" s="17">
        <v>6.4</v>
      </c>
      <c r="D79" s="9" t="s">
        <v>10</v>
      </c>
      <c r="E79" s="18">
        <v>1.3</v>
      </c>
    </row>
    <row r="80" spans="1:5" x14ac:dyDescent="0.35">
      <c r="A80" t="s">
        <v>89</v>
      </c>
      <c r="B80" s="8" t="s">
        <v>9</v>
      </c>
      <c r="C80" s="17">
        <v>7.3</v>
      </c>
      <c r="D80" s="9" t="s">
        <v>10</v>
      </c>
      <c r="E80" s="18">
        <v>4.9000000000000004</v>
      </c>
    </row>
    <row r="81" spans="1:5" x14ac:dyDescent="0.35">
      <c r="A81" t="s">
        <v>90</v>
      </c>
      <c r="B81" s="11" t="s">
        <v>16</v>
      </c>
      <c r="C81" s="17">
        <v>6.7</v>
      </c>
      <c r="D81" s="9" t="s">
        <v>10</v>
      </c>
      <c r="E81" s="18">
        <v>1.6</v>
      </c>
    </row>
    <row r="82" spans="1:5" x14ac:dyDescent="0.35">
      <c r="A82" t="s">
        <v>91</v>
      </c>
      <c r="B82" s="8" t="s">
        <v>9</v>
      </c>
      <c r="C82" s="17">
        <v>8.6999999999999993</v>
      </c>
      <c r="D82" s="9" t="s">
        <v>10</v>
      </c>
      <c r="E82" s="18">
        <v>1.9</v>
      </c>
    </row>
    <row r="83" spans="1:5" x14ac:dyDescent="0.35">
      <c r="A83" t="s">
        <v>92</v>
      </c>
      <c r="B83" s="8" t="s">
        <v>9</v>
      </c>
      <c r="C83" s="17">
        <v>4.4000000000000004</v>
      </c>
      <c r="D83" s="9" t="s">
        <v>10</v>
      </c>
      <c r="E83" s="18">
        <v>2.6</v>
      </c>
    </row>
    <row r="84" spans="1:5" x14ac:dyDescent="0.35">
      <c r="A84" t="s">
        <v>93</v>
      </c>
      <c r="B84" s="4" t="s">
        <v>21</v>
      </c>
      <c r="C84" s="17">
        <v>3.1</v>
      </c>
      <c r="D84" s="6" t="s">
        <v>7</v>
      </c>
      <c r="E84" s="18">
        <v>2.8</v>
      </c>
    </row>
    <row r="85" spans="1:5" x14ac:dyDescent="0.35">
      <c r="A85" t="s">
        <v>94</v>
      </c>
      <c r="B85" s="8" t="s">
        <v>9</v>
      </c>
      <c r="C85" s="17">
        <v>3.4</v>
      </c>
      <c r="D85" s="6" t="s">
        <v>7</v>
      </c>
      <c r="E85" s="18">
        <v>1.1000000000000001</v>
      </c>
    </row>
    <row r="86" spans="1:5" x14ac:dyDescent="0.35">
      <c r="A86" t="s">
        <v>95</v>
      </c>
      <c r="B86" s="11" t="s">
        <v>16</v>
      </c>
      <c r="C86" s="17">
        <v>6.4</v>
      </c>
      <c r="D86" s="9" t="s">
        <v>10</v>
      </c>
      <c r="E86" s="18">
        <v>1.1000000000000001</v>
      </c>
    </row>
    <row r="87" spans="1:5" x14ac:dyDescent="0.35">
      <c r="A87" t="s">
        <v>96</v>
      </c>
      <c r="B87" s="4" t="s">
        <v>21</v>
      </c>
      <c r="C87" s="16">
        <v>8.6</v>
      </c>
      <c r="D87" s="13" t="s">
        <v>6</v>
      </c>
      <c r="E87" s="16">
        <v>5.0999999999999996</v>
      </c>
    </row>
    <row r="88" spans="1:5" x14ac:dyDescent="0.35">
      <c r="A88" t="s">
        <v>97</v>
      </c>
      <c r="B88" s="4" t="s">
        <v>21</v>
      </c>
      <c r="C88" s="16">
        <v>7</v>
      </c>
      <c r="D88" s="13" t="s">
        <v>6</v>
      </c>
      <c r="E88" s="16">
        <v>4.5999999999999996</v>
      </c>
    </row>
    <row r="89" spans="1:5" x14ac:dyDescent="0.35">
      <c r="A89" t="s">
        <v>98</v>
      </c>
      <c r="B89" s="8" t="s">
        <v>9</v>
      </c>
      <c r="C89" s="17">
        <v>4.2</v>
      </c>
      <c r="D89" s="6" t="s">
        <v>7</v>
      </c>
      <c r="E89" s="18">
        <v>2.9</v>
      </c>
    </row>
    <row r="90" spans="1:5" x14ac:dyDescent="0.35">
      <c r="A90" t="s">
        <v>99</v>
      </c>
      <c r="B90" s="8" t="s">
        <v>9</v>
      </c>
      <c r="C90" s="17">
        <v>3.7</v>
      </c>
      <c r="D90" s="6" t="s">
        <v>7</v>
      </c>
      <c r="E90" s="18">
        <v>4.7</v>
      </c>
    </row>
    <row r="91" spans="1:5" x14ac:dyDescent="0.35">
      <c r="A91" t="s">
        <v>100</v>
      </c>
      <c r="B91" s="8" t="s">
        <v>9</v>
      </c>
      <c r="C91" s="16">
        <v>6.8</v>
      </c>
      <c r="D91" s="9" t="s">
        <v>10</v>
      </c>
      <c r="E91" s="16">
        <v>0.9</v>
      </c>
    </row>
    <row r="92" spans="1:5" x14ac:dyDescent="0.35">
      <c r="A92" t="s">
        <v>101</v>
      </c>
      <c r="B92" s="11" t="s">
        <v>16</v>
      </c>
      <c r="C92" s="16">
        <v>7.5</v>
      </c>
      <c r="D92" s="13" t="s">
        <v>6</v>
      </c>
      <c r="E92" s="16">
        <v>1.8</v>
      </c>
    </row>
    <row r="93" spans="1:5" x14ac:dyDescent="0.35">
      <c r="A93" t="s">
        <v>102</v>
      </c>
      <c r="B93" s="8" t="s">
        <v>9</v>
      </c>
      <c r="C93" s="16">
        <v>4.9000000000000004</v>
      </c>
      <c r="D93" s="6" t="s">
        <v>7</v>
      </c>
      <c r="E93" s="19">
        <v>3.8</v>
      </c>
    </row>
    <row r="94" spans="1:5" x14ac:dyDescent="0.35">
      <c r="A94" t="s">
        <v>103</v>
      </c>
      <c r="B94" s="8" t="s">
        <v>9</v>
      </c>
      <c r="C94" s="16">
        <v>5.5</v>
      </c>
      <c r="D94" s="9" t="s">
        <v>10</v>
      </c>
      <c r="E94" s="16">
        <v>4.5</v>
      </c>
    </row>
    <row r="95" spans="1:5" x14ac:dyDescent="0.35">
      <c r="A95" t="s">
        <v>104</v>
      </c>
      <c r="B95" s="11" t="s">
        <v>16</v>
      </c>
      <c r="C95" s="16">
        <v>7.8</v>
      </c>
      <c r="D95" s="13" t="s">
        <v>6</v>
      </c>
      <c r="E95" s="16">
        <v>4.2</v>
      </c>
    </row>
    <row r="96" spans="1:5" x14ac:dyDescent="0.35">
      <c r="A96" t="s">
        <v>105</v>
      </c>
      <c r="B96" s="8" t="s">
        <v>9</v>
      </c>
      <c r="C96" s="16">
        <v>6.7</v>
      </c>
      <c r="D96" s="9" t="s">
        <v>10</v>
      </c>
      <c r="E96" s="16">
        <v>1.9</v>
      </c>
    </row>
    <row r="97" spans="1:5" x14ac:dyDescent="0.35">
      <c r="A97" t="s">
        <v>106</v>
      </c>
      <c r="B97" s="8" t="s">
        <v>9</v>
      </c>
      <c r="C97" s="16">
        <v>5.7</v>
      </c>
      <c r="D97" s="9" t="s">
        <v>10</v>
      </c>
      <c r="E97" s="16">
        <v>2.1</v>
      </c>
    </row>
    <row r="98" spans="1:5" x14ac:dyDescent="0.35">
      <c r="A98" t="s">
        <v>107</v>
      </c>
      <c r="B98" s="8" t="s">
        <v>9</v>
      </c>
      <c r="C98" s="16">
        <v>7.8</v>
      </c>
      <c r="D98" s="13" t="s">
        <v>6</v>
      </c>
      <c r="E98" s="16">
        <v>1.2</v>
      </c>
    </row>
    <row r="99" spans="1:5" x14ac:dyDescent="0.35">
      <c r="A99" t="s">
        <v>108</v>
      </c>
      <c r="B99" s="11" t="s">
        <v>16</v>
      </c>
      <c r="C99" s="16">
        <v>6.7</v>
      </c>
      <c r="D99" s="9" t="s">
        <v>10</v>
      </c>
      <c r="E99" s="16">
        <v>1.3</v>
      </c>
    </row>
    <row r="100" spans="1:5" x14ac:dyDescent="0.35">
      <c r="A100" t="s">
        <v>109</v>
      </c>
      <c r="B100" s="4" t="s">
        <v>21</v>
      </c>
      <c r="C100" s="16">
        <v>8.6999999999999993</v>
      </c>
      <c r="D100" s="13" t="s">
        <v>6</v>
      </c>
      <c r="E100" s="16">
        <v>1.1000000000000001</v>
      </c>
    </row>
    <row r="101" spans="1:5" x14ac:dyDescent="0.35">
      <c r="A101" t="s">
        <v>110</v>
      </c>
      <c r="B101" s="8" t="s">
        <v>9</v>
      </c>
      <c r="C101" s="16">
        <v>7.7</v>
      </c>
      <c r="D101" s="9" t="s">
        <v>10</v>
      </c>
      <c r="E101" s="16">
        <v>3.1</v>
      </c>
    </row>
    <row r="102" spans="1:5" x14ac:dyDescent="0.35">
      <c r="A102" t="s">
        <v>111</v>
      </c>
      <c r="B102" s="11" t="s">
        <v>16</v>
      </c>
      <c r="C102" s="16">
        <v>4.8</v>
      </c>
      <c r="D102" s="6" t="s">
        <v>7</v>
      </c>
      <c r="E102" s="16">
        <v>6.3</v>
      </c>
    </row>
    <row r="103" spans="1:5" x14ac:dyDescent="0.35">
      <c r="A103" t="s">
        <v>112</v>
      </c>
      <c r="B103" s="8" t="s">
        <v>9</v>
      </c>
      <c r="C103" s="17">
        <v>6.7</v>
      </c>
      <c r="D103" s="9" t="s">
        <v>10</v>
      </c>
      <c r="E103" s="18">
        <v>4.5999999999999996</v>
      </c>
    </row>
    <row r="104" spans="1:5" x14ac:dyDescent="0.35">
      <c r="A104" t="s">
        <v>113</v>
      </c>
      <c r="B104" s="8" t="s">
        <v>9</v>
      </c>
      <c r="C104" s="17">
        <v>7.5</v>
      </c>
      <c r="D104" s="9" t="s">
        <v>10</v>
      </c>
      <c r="E104" s="18">
        <v>1.5</v>
      </c>
    </row>
    <row r="105" spans="1:5" x14ac:dyDescent="0.35">
      <c r="A105" t="s">
        <v>114</v>
      </c>
      <c r="B105" s="11" t="s">
        <v>16</v>
      </c>
      <c r="C105" s="17">
        <v>7.8</v>
      </c>
      <c r="D105" s="13" t="s">
        <v>6</v>
      </c>
      <c r="E105" s="18">
        <v>3.3</v>
      </c>
    </row>
    <row r="106" spans="1:5" x14ac:dyDescent="0.35">
      <c r="A106" t="s">
        <v>115</v>
      </c>
      <c r="B106" s="11" t="s">
        <v>16</v>
      </c>
      <c r="C106" s="17">
        <v>5.4</v>
      </c>
      <c r="D106" s="9" t="s">
        <v>10</v>
      </c>
      <c r="E106" s="18">
        <v>0.4</v>
      </c>
    </row>
    <row r="107" spans="1:5" x14ac:dyDescent="0.35">
      <c r="A107" t="s">
        <v>116</v>
      </c>
      <c r="B107" s="11" t="s">
        <v>16</v>
      </c>
      <c r="C107" s="17">
        <v>5.4</v>
      </c>
      <c r="D107" s="9" t="s">
        <v>10</v>
      </c>
      <c r="E107" s="18">
        <v>1.7</v>
      </c>
    </row>
    <row r="108" spans="1:5" x14ac:dyDescent="0.35">
      <c r="A108" t="s">
        <v>117</v>
      </c>
      <c r="B108" s="11" t="s">
        <v>16</v>
      </c>
      <c r="C108" s="17">
        <v>7.8</v>
      </c>
      <c r="D108" s="13" t="s">
        <v>6</v>
      </c>
      <c r="E108" s="18">
        <v>2.9</v>
      </c>
    </row>
    <row r="109" spans="1:5" x14ac:dyDescent="0.35">
      <c r="A109" t="s">
        <v>118</v>
      </c>
      <c r="B109" s="8" t="s">
        <v>9</v>
      </c>
      <c r="C109" s="17">
        <v>6.4</v>
      </c>
      <c r="D109" s="9" t="s">
        <v>10</v>
      </c>
      <c r="E109" s="18">
        <v>2.4</v>
      </c>
    </row>
    <row r="110" spans="1:5" x14ac:dyDescent="0.35">
      <c r="A110" t="s">
        <v>119</v>
      </c>
      <c r="B110" s="8" t="s">
        <v>9</v>
      </c>
      <c r="C110" s="17">
        <v>5.4</v>
      </c>
      <c r="D110" s="9" t="s">
        <v>10</v>
      </c>
      <c r="E110" s="18">
        <v>1.9</v>
      </c>
    </row>
    <row r="111" spans="1:5" x14ac:dyDescent="0.35">
      <c r="A111" t="s">
        <v>120</v>
      </c>
      <c r="B111" s="8" t="s">
        <v>9</v>
      </c>
      <c r="C111" s="17">
        <v>6.7</v>
      </c>
      <c r="D111" s="9" t="s">
        <v>10</v>
      </c>
      <c r="E111" s="17">
        <v>1.3</v>
      </c>
    </row>
    <row r="112" spans="1:5" x14ac:dyDescent="0.35">
      <c r="A112" t="s">
        <v>121</v>
      </c>
      <c r="B112" s="8" t="s">
        <v>9</v>
      </c>
      <c r="C112" s="17">
        <v>6.7</v>
      </c>
      <c r="D112" s="9" t="s">
        <v>10</v>
      </c>
      <c r="E112" s="17">
        <v>1.6</v>
      </c>
    </row>
    <row r="113" spans="1:5" x14ac:dyDescent="0.35">
      <c r="A113" t="s">
        <v>122</v>
      </c>
      <c r="B113" s="11" t="s">
        <v>16</v>
      </c>
      <c r="C113" s="17">
        <v>8.6999999999999993</v>
      </c>
      <c r="D113" s="13" t="s">
        <v>6</v>
      </c>
      <c r="E113" s="17">
        <v>4.9000000000000004</v>
      </c>
    </row>
    <row r="114" spans="1:5" x14ac:dyDescent="0.35">
      <c r="A114" t="s">
        <v>123</v>
      </c>
      <c r="B114" s="11" t="s">
        <v>16</v>
      </c>
      <c r="C114" s="17">
        <v>8.8000000000000007</v>
      </c>
      <c r="D114" s="13" t="s">
        <v>6</v>
      </c>
      <c r="E114" s="17">
        <v>3.8</v>
      </c>
    </row>
    <row r="115" spans="1:5" x14ac:dyDescent="0.35">
      <c r="A115" t="s">
        <v>124</v>
      </c>
      <c r="B115" s="11" t="s">
        <v>16</v>
      </c>
      <c r="C115" s="17">
        <v>5.4</v>
      </c>
      <c r="D115" s="9" t="s">
        <v>10</v>
      </c>
      <c r="E115" s="18">
        <v>1.7</v>
      </c>
    </row>
    <row r="116" spans="1:5" x14ac:dyDescent="0.35">
      <c r="A116" t="s">
        <v>125</v>
      </c>
      <c r="B116" s="11" t="s">
        <v>16</v>
      </c>
      <c r="C116" s="17">
        <v>8.6999999999999993</v>
      </c>
      <c r="D116" s="13" t="s">
        <v>6</v>
      </c>
      <c r="E116" s="18">
        <v>2.2999999999999998</v>
      </c>
    </row>
    <row r="117" spans="1:5" x14ac:dyDescent="0.35">
      <c r="A117" t="s">
        <v>126</v>
      </c>
      <c r="B117" s="8" t="s">
        <v>9</v>
      </c>
      <c r="C117" s="17">
        <v>4.7</v>
      </c>
      <c r="D117" s="9" t="s">
        <v>10</v>
      </c>
      <c r="E117" s="18">
        <v>1.9</v>
      </c>
    </row>
    <row r="118" spans="1:5" x14ac:dyDescent="0.35">
      <c r="A118" t="s">
        <v>127</v>
      </c>
      <c r="B118" s="11" t="s">
        <v>16</v>
      </c>
      <c r="C118" s="17">
        <v>6.7</v>
      </c>
      <c r="D118" s="9" t="s">
        <v>10</v>
      </c>
      <c r="E118" s="18">
        <v>2.6</v>
      </c>
    </row>
    <row r="119" spans="1:5" x14ac:dyDescent="0.35">
      <c r="A119" t="s">
        <v>128</v>
      </c>
      <c r="B119" s="8" t="s">
        <v>9</v>
      </c>
      <c r="C119" s="17">
        <v>6.7</v>
      </c>
      <c r="D119" s="9" t="s">
        <v>10</v>
      </c>
      <c r="E119" s="18">
        <v>2.8</v>
      </c>
    </row>
    <row r="120" spans="1:5" x14ac:dyDescent="0.35">
      <c r="A120" t="s">
        <v>129</v>
      </c>
      <c r="B120" s="11" t="s">
        <v>16</v>
      </c>
      <c r="C120" s="17">
        <v>6.4</v>
      </c>
      <c r="D120" s="9" t="s">
        <v>10</v>
      </c>
      <c r="E120" s="18">
        <v>2.1</v>
      </c>
    </row>
    <row r="121" spans="1:5" x14ac:dyDescent="0.35">
      <c r="A121" t="s">
        <v>130</v>
      </c>
      <c r="B121" s="8" t="s">
        <v>9</v>
      </c>
      <c r="C121" s="17">
        <v>7.7</v>
      </c>
      <c r="D121" s="9" t="s">
        <v>10</v>
      </c>
      <c r="E121" s="18">
        <v>3.6</v>
      </c>
    </row>
    <row r="122" spans="1:5" x14ac:dyDescent="0.35">
      <c r="A122" t="s">
        <v>131</v>
      </c>
      <c r="B122" s="8" t="s">
        <v>9</v>
      </c>
      <c r="C122" s="17">
        <v>6.4</v>
      </c>
      <c r="D122" s="9" t="s">
        <v>10</v>
      </c>
      <c r="E122" s="18">
        <v>1.2</v>
      </c>
    </row>
    <row r="123" spans="1:5" x14ac:dyDescent="0.35">
      <c r="A123" t="s">
        <v>132</v>
      </c>
      <c r="B123" s="8" t="s">
        <v>9</v>
      </c>
      <c r="C123" s="17">
        <v>6.4</v>
      </c>
      <c r="D123" s="9" t="s">
        <v>10</v>
      </c>
      <c r="E123" s="18">
        <v>1.1000000000000001</v>
      </c>
    </row>
    <row r="124" spans="1:5" x14ac:dyDescent="0.35">
      <c r="A124" t="s">
        <v>133</v>
      </c>
      <c r="B124" s="11" t="s">
        <v>16</v>
      </c>
      <c r="C124" s="16">
        <v>4.4000000000000004</v>
      </c>
      <c r="D124" s="9" t="s">
        <v>10</v>
      </c>
      <c r="E124" s="16">
        <v>1.1000000000000001</v>
      </c>
    </row>
    <row r="125" spans="1:5" x14ac:dyDescent="0.35">
      <c r="A125" t="s">
        <v>134</v>
      </c>
      <c r="B125" s="4" t="s">
        <v>21</v>
      </c>
      <c r="C125" s="16">
        <v>5.5</v>
      </c>
      <c r="D125" s="9" t="s">
        <v>10</v>
      </c>
      <c r="E125" s="16">
        <v>4.5999999999999996</v>
      </c>
    </row>
    <row r="126" spans="1:5" x14ac:dyDescent="0.35">
      <c r="A126" t="s">
        <v>135</v>
      </c>
      <c r="B126" s="8" t="s">
        <v>9</v>
      </c>
      <c r="C126" s="16">
        <v>4.5</v>
      </c>
      <c r="D126" s="6" t="s">
        <v>7</v>
      </c>
      <c r="E126" s="16">
        <v>3.5</v>
      </c>
    </row>
    <row r="127" spans="1:5" x14ac:dyDescent="0.35">
      <c r="A127" t="s">
        <v>136</v>
      </c>
      <c r="B127" s="8" t="s">
        <v>9</v>
      </c>
      <c r="C127" s="16">
        <v>4.5</v>
      </c>
      <c r="D127" s="6" t="s">
        <v>7</v>
      </c>
      <c r="E127" s="16">
        <v>1.1000000000000001</v>
      </c>
    </row>
    <row r="128" spans="1:5" x14ac:dyDescent="0.35">
      <c r="A128" t="s">
        <v>137</v>
      </c>
      <c r="B128" s="8" t="s">
        <v>9</v>
      </c>
      <c r="C128" s="16">
        <v>6.4</v>
      </c>
      <c r="D128" s="9" t="s">
        <v>10</v>
      </c>
      <c r="E128" s="16">
        <v>3.9</v>
      </c>
    </row>
    <row r="129" spans="1:5" x14ac:dyDescent="0.35">
      <c r="A129" t="s">
        <v>138</v>
      </c>
      <c r="B129" s="8" t="s">
        <v>9</v>
      </c>
      <c r="C129" s="16">
        <v>5.5</v>
      </c>
      <c r="D129" s="9" t="s">
        <v>10</v>
      </c>
      <c r="E129" s="16">
        <v>1.8</v>
      </c>
    </row>
    <row r="130" spans="1:5" x14ac:dyDescent="0.35">
      <c r="A130" t="s">
        <v>139</v>
      </c>
      <c r="B130" s="8" t="s">
        <v>9</v>
      </c>
      <c r="C130" s="16">
        <v>4.7</v>
      </c>
      <c r="D130" s="9" t="s">
        <v>10</v>
      </c>
      <c r="E130" s="19">
        <v>4.8</v>
      </c>
    </row>
    <row r="131" spans="1:5" x14ac:dyDescent="0.35">
      <c r="A131" t="s">
        <v>140</v>
      </c>
      <c r="B131" s="8" t="s">
        <v>9</v>
      </c>
      <c r="C131" s="16">
        <v>6.4</v>
      </c>
      <c r="D131" s="9" t="s">
        <v>10</v>
      </c>
      <c r="E131" s="16">
        <v>3.5</v>
      </c>
    </row>
    <row r="132" spans="1:5" x14ac:dyDescent="0.35">
      <c r="A132" t="s">
        <v>141</v>
      </c>
      <c r="B132" s="8" t="s">
        <v>9</v>
      </c>
      <c r="C132" s="16">
        <v>9.6999999999999993</v>
      </c>
      <c r="D132" s="13" t="s">
        <v>6</v>
      </c>
      <c r="E132" s="16">
        <v>4.2</v>
      </c>
    </row>
    <row r="133" spans="1:5" x14ac:dyDescent="0.35">
      <c r="A133" t="s">
        <v>142</v>
      </c>
      <c r="B133" s="11" t="s">
        <v>16</v>
      </c>
      <c r="C133" s="16">
        <v>5.3</v>
      </c>
      <c r="D133" s="9" t="s">
        <v>10</v>
      </c>
      <c r="E133" s="16">
        <v>1.9</v>
      </c>
    </row>
    <row r="134" spans="1:5" x14ac:dyDescent="0.35">
      <c r="A134" t="s">
        <v>143</v>
      </c>
      <c r="B134" s="11" t="s">
        <v>16</v>
      </c>
      <c r="C134" s="16">
        <v>4.3</v>
      </c>
      <c r="D134" s="9" t="s">
        <v>10</v>
      </c>
      <c r="E134" s="16">
        <v>2.1</v>
      </c>
    </row>
    <row r="135" spans="1:5" x14ac:dyDescent="0.35">
      <c r="A135" t="s">
        <v>144</v>
      </c>
      <c r="B135" s="11" t="s">
        <v>16</v>
      </c>
      <c r="C135" s="16">
        <v>6.7</v>
      </c>
      <c r="D135" s="9" t="s">
        <v>10</v>
      </c>
      <c r="E135" s="16">
        <v>4.9000000000000004</v>
      </c>
    </row>
    <row r="136" spans="1:5" x14ac:dyDescent="0.35">
      <c r="A136" t="s">
        <v>145</v>
      </c>
      <c r="B136" s="11" t="s">
        <v>16</v>
      </c>
      <c r="C136" s="16">
        <v>6.5</v>
      </c>
      <c r="D136" s="9" t="s">
        <v>10</v>
      </c>
      <c r="E136" s="16">
        <v>1.3</v>
      </c>
    </row>
    <row r="137" spans="1:5" x14ac:dyDescent="0.35">
      <c r="A137" s="20" t="s">
        <v>146</v>
      </c>
      <c r="B137" s="11" t="s">
        <v>16</v>
      </c>
      <c r="C137" s="17">
        <v>6.7</v>
      </c>
      <c r="D137" s="13" t="s">
        <v>6</v>
      </c>
      <c r="E137" s="18">
        <v>2.5</v>
      </c>
    </row>
    <row r="138" spans="1:5" x14ac:dyDescent="0.35">
      <c r="A138" s="20" t="s">
        <v>147</v>
      </c>
      <c r="B138" s="8" t="s">
        <v>9</v>
      </c>
      <c r="C138" s="17">
        <v>5.4</v>
      </c>
      <c r="D138" s="9" t="s">
        <v>10</v>
      </c>
      <c r="E138" s="18">
        <v>1.2</v>
      </c>
    </row>
    <row r="139" spans="1:5" x14ac:dyDescent="0.35">
      <c r="A139" s="20" t="s">
        <v>148</v>
      </c>
      <c r="B139" s="8" t="s">
        <v>9</v>
      </c>
      <c r="C139" s="17">
        <v>6.4</v>
      </c>
      <c r="D139" s="9" t="s">
        <v>10</v>
      </c>
      <c r="E139" s="18">
        <v>1.1000000000000001</v>
      </c>
    </row>
    <row r="140" spans="1:5" x14ac:dyDescent="0.35">
      <c r="A140" s="20" t="s">
        <v>149</v>
      </c>
      <c r="B140" s="11" t="s">
        <v>16</v>
      </c>
      <c r="C140" s="16">
        <v>6.2</v>
      </c>
      <c r="D140" s="9" t="s">
        <v>10</v>
      </c>
      <c r="E140" s="16">
        <v>1.1000000000000001</v>
      </c>
    </row>
    <row r="141" spans="1:5" x14ac:dyDescent="0.35">
      <c r="A141" s="20" t="s">
        <v>150</v>
      </c>
      <c r="B141" s="8" t="s">
        <v>9</v>
      </c>
      <c r="C141" s="16">
        <v>5.0999999999999996</v>
      </c>
      <c r="D141" s="9" t="s">
        <v>10</v>
      </c>
      <c r="E141" s="16">
        <v>4.5999999999999996</v>
      </c>
    </row>
    <row r="142" spans="1:5" x14ac:dyDescent="0.35">
      <c r="A142" s="20" t="s">
        <v>151</v>
      </c>
      <c r="B142" s="8" t="s">
        <v>9</v>
      </c>
      <c r="C142" s="16">
        <v>3.9</v>
      </c>
      <c r="D142" s="9" t="s">
        <v>10</v>
      </c>
      <c r="E142" s="16">
        <v>3.5</v>
      </c>
    </row>
    <row r="143" spans="1:5" x14ac:dyDescent="0.35">
      <c r="A143" s="20" t="s">
        <v>152</v>
      </c>
      <c r="B143" s="11" t="s">
        <v>16</v>
      </c>
      <c r="C143" s="16">
        <v>5.4</v>
      </c>
      <c r="D143" s="9" t="s">
        <v>10</v>
      </c>
      <c r="E143" s="16">
        <v>1.3</v>
      </c>
    </row>
    <row r="144" spans="1:5" x14ac:dyDescent="0.35">
      <c r="A144" s="20" t="s">
        <v>153</v>
      </c>
      <c r="B144" s="8" t="s">
        <v>9</v>
      </c>
      <c r="C144" s="17">
        <v>6.4</v>
      </c>
      <c r="D144" s="9" t="s">
        <v>10</v>
      </c>
      <c r="E144" s="17">
        <v>1.9</v>
      </c>
    </row>
    <row r="145" spans="1:5" x14ac:dyDescent="0.35">
      <c r="A145" s="20" t="s">
        <v>154</v>
      </c>
      <c r="B145" s="11" t="s">
        <v>16</v>
      </c>
      <c r="C145" s="17">
        <v>7</v>
      </c>
      <c r="D145" s="13" t="s">
        <v>6</v>
      </c>
      <c r="E145" s="18">
        <v>1.8</v>
      </c>
    </row>
    <row r="146" spans="1:5" x14ac:dyDescent="0.35">
      <c r="A146" s="20" t="s">
        <v>155</v>
      </c>
      <c r="B146" s="11" t="s">
        <v>16</v>
      </c>
      <c r="C146" s="17">
        <v>5.4</v>
      </c>
      <c r="D146" s="9" t="s">
        <v>10</v>
      </c>
      <c r="E146" s="18">
        <v>0.3</v>
      </c>
    </row>
    <row r="147" spans="1:5" x14ac:dyDescent="0.35">
      <c r="A147" s="20" t="s">
        <v>156</v>
      </c>
      <c r="B147" s="8" t="s">
        <v>9</v>
      </c>
      <c r="C147" s="17">
        <v>2.4</v>
      </c>
      <c r="D147" s="6" t="s">
        <v>7</v>
      </c>
      <c r="E147" s="18">
        <v>2.8</v>
      </c>
    </row>
    <row r="148" spans="1:5" x14ac:dyDescent="0.35">
      <c r="A148" s="20" t="s">
        <v>157</v>
      </c>
      <c r="B148" s="4" t="s">
        <v>6</v>
      </c>
      <c r="C148" s="17">
        <v>3.4</v>
      </c>
      <c r="D148" s="9" t="s">
        <v>10</v>
      </c>
      <c r="E148" s="18">
        <v>2.5</v>
      </c>
    </row>
    <row r="149" spans="1:5" x14ac:dyDescent="0.35">
      <c r="A149" s="20" t="s">
        <v>158</v>
      </c>
      <c r="B149" s="8" t="s">
        <v>9</v>
      </c>
      <c r="C149" s="17">
        <v>4.5</v>
      </c>
      <c r="D149" s="9" t="s">
        <v>10</v>
      </c>
      <c r="E149" s="18">
        <v>0.7</v>
      </c>
    </row>
    <row r="150" spans="1:5" x14ac:dyDescent="0.35">
      <c r="A150" s="20" t="s">
        <v>159</v>
      </c>
      <c r="B150" s="8" t="s">
        <v>9</v>
      </c>
      <c r="C150" s="17">
        <v>4.0999999999999996</v>
      </c>
      <c r="D150" s="9" t="s">
        <v>10</v>
      </c>
      <c r="E150" s="18">
        <v>1.1000000000000001</v>
      </c>
    </row>
    <row r="151" spans="1:5" x14ac:dyDescent="0.35">
      <c r="A151" s="20" t="s">
        <v>160</v>
      </c>
      <c r="B151" s="8" t="s">
        <v>9</v>
      </c>
      <c r="C151" s="17">
        <v>3</v>
      </c>
      <c r="D151" s="9" t="s">
        <v>10</v>
      </c>
      <c r="E151" s="18">
        <v>0.9</v>
      </c>
    </row>
    <row r="152" spans="1:5" x14ac:dyDescent="0.35">
      <c r="A152" s="20" t="s">
        <v>161</v>
      </c>
      <c r="B152" s="11" t="s">
        <v>16</v>
      </c>
      <c r="C152" s="17">
        <v>3.5</v>
      </c>
      <c r="D152" s="9" t="s">
        <v>10</v>
      </c>
      <c r="E152" s="18">
        <v>1.3</v>
      </c>
    </row>
    <row r="153" spans="1:5" x14ac:dyDescent="0.35">
      <c r="A153" s="20" t="s">
        <v>162</v>
      </c>
      <c r="B153" s="11" t="s">
        <v>16</v>
      </c>
      <c r="C153" s="17">
        <v>2.1</v>
      </c>
      <c r="D153" s="9" t="s">
        <v>10</v>
      </c>
      <c r="E153" s="18">
        <v>1.1000000000000001</v>
      </c>
    </row>
    <row r="154" spans="1:5" x14ac:dyDescent="0.35">
      <c r="A154" s="20" t="s">
        <v>163</v>
      </c>
      <c r="B154" s="8" t="s">
        <v>9</v>
      </c>
      <c r="C154" s="17">
        <v>1.4</v>
      </c>
      <c r="D154" s="6" t="s">
        <v>7</v>
      </c>
      <c r="E154" s="18">
        <v>1.9</v>
      </c>
    </row>
    <row r="155" spans="1:5" x14ac:dyDescent="0.35">
      <c r="A155" s="20" t="s">
        <v>164</v>
      </c>
      <c r="B155" s="11" t="s">
        <v>16</v>
      </c>
      <c r="C155" s="17">
        <v>1.1000000000000001</v>
      </c>
      <c r="D155" s="6" t="s">
        <v>7</v>
      </c>
      <c r="E155" s="18">
        <v>2.5</v>
      </c>
    </row>
    <row r="156" spans="1:5" x14ac:dyDescent="0.35">
      <c r="A156" s="20" t="s">
        <v>165</v>
      </c>
      <c r="B156" s="11" t="s">
        <v>16</v>
      </c>
      <c r="C156" s="17">
        <v>1.4</v>
      </c>
      <c r="D156" s="9" t="s">
        <v>10</v>
      </c>
      <c r="E156" s="18">
        <v>2.9</v>
      </c>
    </row>
    <row r="157" spans="1:5" x14ac:dyDescent="0.35">
      <c r="A157" s="20" t="s">
        <v>166</v>
      </c>
      <c r="B157" s="11" t="s">
        <v>16</v>
      </c>
      <c r="C157" s="16">
        <v>1.2</v>
      </c>
      <c r="D157" s="6" t="s">
        <v>7</v>
      </c>
      <c r="E157" s="16">
        <v>0.9</v>
      </c>
    </row>
    <row r="158" spans="1:5" x14ac:dyDescent="0.35">
      <c r="A158" s="20" t="s">
        <v>167</v>
      </c>
      <c r="B158" s="8" t="s">
        <v>9</v>
      </c>
      <c r="C158" s="17">
        <v>1.7</v>
      </c>
      <c r="D158" s="6" t="s">
        <v>7</v>
      </c>
      <c r="E158" s="18">
        <v>1.9</v>
      </c>
    </row>
    <row r="159" spans="1:5" x14ac:dyDescent="0.35">
      <c r="A159" s="20" t="s">
        <v>168</v>
      </c>
      <c r="B159" s="11" t="s">
        <v>16</v>
      </c>
      <c r="C159" s="17">
        <v>2.1</v>
      </c>
      <c r="D159" s="9" t="s">
        <v>10</v>
      </c>
      <c r="E159" s="18">
        <v>1.8</v>
      </c>
    </row>
    <row r="160" spans="1:5" x14ac:dyDescent="0.35">
      <c r="A160" s="20" t="s">
        <v>169</v>
      </c>
      <c r="B160" s="11" t="s">
        <v>16</v>
      </c>
      <c r="C160" s="17">
        <v>1.3</v>
      </c>
      <c r="D160" s="6" t="s">
        <v>7</v>
      </c>
      <c r="E160" s="18">
        <v>4.9000000000000004</v>
      </c>
    </row>
    <row r="161" spans="1:5" x14ac:dyDescent="0.35">
      <c r="A161" s="20" t="s">
        <v>170</v>
      </c>
      <c r="B161" s="8" t="s">
        <v>9</v>
      </c>
      <c r="C161" s="17">
        <v>1.5</v>
      </c>
      <c r="D161" s="6" t="s">
        <v>7</v>
      </c>
      <c r="E161" s="18">
        <v>2.9</v>
      </c>
    </row>
    <row r="162" spans="1:5" x14ac:dyDescent="0.35">
      <c r="A162" s="20" t="s">
        <v>171</v>
      </c>
      <c r="B162" s="8" t="s">
        <v>9</v>
      </c>
      <c r="C162" s="16">
        <v>1.9</v>
      </c>
      <c r="D162" s="6" t="s">
        <v>7</v>
      </c>
      <c r="E162" s="19">
        <v>0.8</v>
      </c>
    </row>
    <row r="163" spans="1:5" x14ac:dyDescent="0.35">
      <c r="A163" s="20" t="s">
        <v>172</v>
      </c>
      <c r="B163" s="8" t="s">
        <v>9</v>
      </c>
      <c r="C163" s="16">
        <v>1.6</v>
      </c>
      <c r="D163" s="6" t="s">
        <v>7</v>
      </c>
      <c r="E163" s="16">
        <v>2.1</v>
      </c>
    </row>
    <row r="164" spans="1:5" x14ac:dyDescent="0.35">
      <c r="A164" s="20" t="s">
        <v>173</v>
      </c>
      <c r="B164" s="8" t="s">
        <v>9</v>
      </c>
      <c r="C164" s="17">
        <v>1.2</v>
      </c>
      <c r="D164" s="6" t="s">
        <v>7</v>
      </c>
      <c r="E164" s="18">
        <v>1.1000000000000001</v>
      </c>
    </row>
    <row r="165" spans="1:5" x14ac:dyDescent="0.35">
      <c r="A165" s="20" t="s">
        <v>174</v>
      </c>
      <c r="B165" s="8" t="s">
        <v>9</v>
      </c>
      <c r="C165" s="17">
        <v>1.4</v>
      </c>
      <c r="D165" s="9" t="s">
        <v>10</v>
      </c>
      <c r="E165" s="18">
        <v>0.9</v>
      </c>
    </row>
    <row r="166" spans="1:5" x14ac:dyDescent="0.35">
      <c r="A166" s="20" t="s">
        <v>175</v>
      </c>
      <c r="B166" s="11" t="s">
        <v>16</v>
      </c>
      <c r="C166" s="17">
        <v>0.9</v>
      </c>
      <c r="D166" s="6" t="s">
        <v>7</v>
      </c>
      <c r="E166" s="18">
        <v>1.3</v>
      </c>
    </row>
    <row r="167" spans="1:5" x14ac:dyDescent="0.35">
      <c r="A167" s="20" t="s">
        <v>176</v>
      </c>
      <c r="B167" s="11" t="s">
        <v>16</v>
      </c>
      <c r="C167" s="16">
        <v>8.6999999999999993</v>
      </c>
      <c r="D167" s="13" t="s">
        <v>6</v>
      </c>
      <c r="E167" s="16">
        <v>1.1000000000000001</v>
      </c>
    </row>
    <row r="168" spans="1:5" x14ac:dyDescent="0.35">
      <c r="A168" s="20" t="s">
        <v>177</v>
      </c>
      <c r="B168" s="11" t="s">
        <v>16</v>
      </c>
      <c r="C168" s="16">
        <v>9.6999999999999993</v>
      </c>
      <c r="D168" s="13" t="s">
        <v>6</v>
      </c>
      <c r="E168" s="16">
        <v>4.5999999999999996</v>
      </c>
    </row>
    <row r="169" spans="1:5" x14ac:dyDescent="0.35">
      <c r="A169" s="20" t="s">
        <v>178</v>
      </c>
      <c r="B169" s="11" t="s">
        <v>16</v>
      </c>
      <c r="C169" s="16">
        <v>7.7</v>
      </c>
      <c r="D169" s="13" t="s">
        <v>6</v>
      </c>
      <c r="E169" s="16">
        <v>3.5</v>
      </c>
    </row>
    <row r="170" spans="1:5" x14ac:dyDescent="0.35">
      <c r="A170" s="20" t="s">
        <v>179</v>
      </c>
      <c r="B170" s="11" t="s">
        <v>16</v>
      </c>
      <c r="C170" s="16">
        <v>7.5</v>
      </c>
      <c r="D170" s="13" t="s">
        <v>6</v>
      </c>
      <c r="E170" s="16">
        <v>1.1000000000000001</v>
      </c>
    </row>
    <row r="171" spans="1:5" x14ac:dyDescent="0.35">
      <c r="A171" s="20" t="s">
        <v>180</v>
      </c>
      <c r="B171" s="8" t="s">
        <v>9</v>
      </c>
      <c r="C171" s="16">
        <v>8.6999999999999993</v>
      </c>
      <c r="D171" s="13" t="s">
        <v>6</v>
      </c>
      <c r="E171" s="16">
        <v>0.9</v>
      </c>
    </row>
    <row r="172" spans="1:5" x14ac:dyDescent="0.35">
      <c r="A172" s="20" t="s">
        <v>181</v>
      </c>
      <c r="B172" s="11" t="s">
        <v>16</v>
      </c>
      <c r="C172" s="16">
        <v>8.5</v>
      </c>
      <c r="D172" s="13" t="s">
        <v>6</v>
      </c>
      <c r="E172" s="16">
        <v>1.8</v>
      </c>
    </row>
    <row r="173" spans="1:5" x14ac:dyDescent="0.35">
      <c r="A173" s="20" t="s">
        <v>182</v>
      </c>
      <c r="B173" s="8" t="s">
        <v>9</v>
      </c>
      <c r="C173" s="16">
        <v>7.7</v>
      </c>
      <c r="D173" s="13" t="s">
        <v>6</v>
      </c>
      <c r="E173" s="16">
        <v>0.5</v>
      </c>
    </row>
    <row r="174" spans="1:5" x14ac:dyDescent="0.35">
      <c r="A174" s="20" t="s">
        <v>183</v>
      </c>
      <c r="B174" s="11" t="s">
        <v>16</v>
      </c>
      <c r="C174" s="16">
        <v>9.6999999999999993</v>
      </c>
      <c r="D174" s="13" t="s">
        <v>6</v>
      </c>
      <c r="E174" s="16">
        <v>4.2</v>
      </c>
    </row>
    <row r="175" spans="1:5" x14ac:dyDescent="0.35">
      <c r="A175" s="20" t="s">
        <v>184</v>
      </c>
      <c r="B175" s="4" t="s">
        <v>21</v>
      </c>
      <c r="C175" s="16">
        <v>8.6</v>
      </c>
      <c r="D175" s="13" t="s">
        <v>6</v>
      </c>
      <c r="E175" s="16">
        <v>1.9</v>
      </c>
    </row>
    <row r="176" spans="1:5" x14ac:dyDescent="0.35">
      <c r="A176" s="20" t="s">
        <v>185</v>
      </c>
      <c r="B176" s="11" t="s">
        <v>16</v>
      </c>
      <c r="C176" s="21">
        <v>7.9</v>
      </c>
      <c r="D176" s="13" t="s">
        <v>6</v>
      </c>
      <c r="E176" s="21">
        <v>2.1</v>
      </c>
    </row>
    <row r="177" spans="1:5" x14ac:dyDescent="0.35">
      <c r="A177" s="20" t="s">
        <v>186</v>
      </c>
      <c r="B177" s="11" t="s">
        <v>16</v>
      </c>
      <c r="C177" s="17">
        <v>7</v>
      </c>
      <c r="D177" s="13" t="s">
        <v>6</v>
      </c>
      <c r="E177" s="18">
        <v>1.9</v>
      </c>
    </row>
    <row r="178" spans="1:5" x14ac:dyDescent="0.35">
      <c r="A178" s="20" t="s">
        <v>187</v>
      </c>
      <c r="B178" s="8" t="s">
        <v>9</v>
      </c>
      <c r="C178" s="16">
        <v>6.4</v>
      </c>
      <c r="D178" s="9" t="s">
        <v>10</v>
      </c>
      <c r="E178" s="16">
        <v>1.1000000000000001</v>
      </c>
    </row>
    <row r="179" spans="1:5" x14ac:dyDescent="0.35">
      <c r="A179" s="20" t="s">
        <v>188</v>
      </c>
      <c r="B179" s="4" t="s">
        <v>21</v>
      </c>
      <c r="C179" s="17">
        <v>6.4</v>
      </c>
      <c r="D179" s="9" t="s">
        <v>10</v>
      </c>
      <c r="E179" s="18">
        <v>1.1000000000000001</v>
      </c>
    </row>
    <row r="180" spans="1:5" x14ac:dyDescent="0.35">
      <c r="A180" s="20" t="s">
        <v>189</v>
      </c>
      <c r="B180" s="4" t="s">
        <v>21</v>
      </c>
      <c r="C180" s="16">
        <v>6.4</v>
      </c>
      <c r="D180" s="9" t="s">
        <v>10</v>
      </c>
      <c r="E180" s="16">
        <v>2.2999999999999998</v>
      </c>
    </row>
    <row r="181" spans="1:5" x14ac:dyDescent="0.35">
      <c r="A181" s="20" t="s">
        <v>190</v>
      </c>
      <c r="B181" s="8" t="s">
        <v>9</v>
      </c>
      <c r="C181" s="17">
        <v>7.7</v>
      </c>
      <c r="D181" s="13" t="s">
        <v>6</v>
      </c>
      <c r="E181" s="18">
        <v>2.4</v>
      </c>
    </row>
    <row r="182" spans="1:5" x14ac:dyDescent="0.35">
      <c r="A182" s="20" t="s">
        <v>191</v>
      </c>
      <c r="B182" s="8" t="s">
        <v>9</v>
      </c>
      <c r="C182" s="17">
        <v>6.4</v>
      </c>
      <c r="D182" s="9" t="s">
        <v>10</v>
      </c>
      <c r="E182" s="18">
        <v>3.1</v>
      </c>
    </row>
    <row r="183" spans="1:5" x14ac:dyDescent="0.35">
      <c r="A183" s="20" t="s">
        <v>192</v>
      </c>
      <c r="B183" s="8" t="s">
        <v>9</v>
      </c>
      <c r="C183" s="17">
        <v>6.7</v>
      </c>
      <c r="D183" s="9" t="s">
        <v>10</v>
      </c>
      <c r="E183" s="18">
        <v>3.5</v>
      </c>
    </row>
    <row r="184" spans="1:5" x14ac:dyDescent="0.35">
      <c r="A184" s="20" t="s">
        <v>193</v>
      </c>
      <c r="B184" s="11" t="s">
        <v>16</v>
      </c>
      <c r="C184" s="17">
        <v>6.4</v>
      </c>
      <c r="D184" s="9" t="s">
        <v>10</v>
      </c>
      <c r="E184" s="18">
        <v>1.6</v>
      </c>
    </row>
    <row r="185" spans="1:5" x14ac:dyDescent="0.35">
      <c r="A185" s="20" t="s">
        <v>194</v>
      </c>
      <c r="B185" s="8" t="s">
        <v>9</v>
      </c>
      <c r="C185" s="17">
        <v>5.5</v>
      </c>
      <c r="D185" s="9" t="s">
        <v>10</v>
      </c>
      <c r="E185" s="18">
        <v>2.4</v>
      </c>
    </row>
    <row r="186" spans="1:5" x14ac:dyDescent="0.35">
      <c r="A186" s="20" t="s">
        <v>195</v>
      </c>
      <c r="B186" s="8" t="s">
        <v>9</v>
      </c>
      <c r="C186" s="17">
        <v>7.8</v>
      </c>
      <c r="D186" s="13" t="s">
        <v>6</v>
      </c>
      <c r="E186" s="18">
        <v>1.9</v>
      </c>
    </row>
    <row r="187" spans="1:5" x14ac:dyDescent="0.35">
      <c r="A187" s="20" t="s">
        <v>196</v>
      </c>
      <c r="B187" s="8" t="s">
        <v>9</v>
      </c>
      <c r="C187" s="17">
        <v>5.4</v>
      </c>
      <c r="D187" s="9" t="s">
        <v>10</v>
      </c>
      <c r="E187" s="17">
        <v>1.3</v>
      </c>
    </row>
    <row r="188" spans="1:5" x14ac:dyDescent="0.35">
      <c r="A188" s="20" t="s">
        <v>197</v>
      </c>
      <c r="B188" s="8" t="s">
        <v>9</v>
      </c>
      <c r="C188" s="17">
        <v>6.4</v>
      </c>
      <c r="D188" s="9" t="s">
        <v>10</v>
      </c>
      <c r="E188" s="17">
        <v>0.6</v>
      </c>
    </row>
    <row r="189" spans="1:5" x14ac:dyDescent="0.35">
      <c r="A189" s="20" t="s">
        <v>198</v>
      </c>
      <c r="B189" s="11" t="s">
        <v>16</v>
      </c>
      <c r="C189" s="16">
        <v>7.7</v>
      </c>
      <c r="D189" s="9" t="s">
        <v>10</v>
      </c>
      <c r="E189" s="16">
        <v>35</v>
      </c>
    </row>
    <row r="190" spans="1:5" x14ac:dyDescent="0.35">
      <c r="A190" s="20" t="s">
        <v>199</v>
      </c>
      <c r="B190" s="11" t="s">
        <v>16</v>
      </c>
      <c r="C190" s="16">
        <v>87</v>
      </c>
      <c r="D190" s="13" t="s">
        <v>6</v>
      </c>
      <c r="E190" s="16">
        <v>1.1000000000000001</v>
      </c>
    </row>
    <row r="191" spans="1:5" x14ac:dyDescent="0.35">
      <c r="A191" s="20" t="s">
        <v>200</v>
      </c>
      <c r="B191" s="8" t="s">
        <v>9</v>
      </c>
      <c r="C191" s="17">
        <v>6.7</v>
      </c>
      <c r="D191" s="9" t="s">
        <v>10</v>
      </c>
      <c r="E191" s="18">
        <v>0.7</v>
      </c>
    </row>
    <row r="192" spans="1:5" x14ac:dyDescent="0.35">
      <c r="A192" s="20" t="s">
        <v>201</v>
      </c>
      <c r="B192" s="11" t="s">
        <v>16</v>
      </c>
      <c r="C192" s="16">
        <v>7.7</v>
      </c>
      <c r="D192" s="13" t="s">
        <v>6</v>
      </c>
      <c r="E192" s="16">
        <v>1.1000000000000001</v>
      </c>
    </row>
    <row r="193" spans="1:5" x14ac:dyDescent="0.35">
      <c r="A193" s="20" t="s">
        <v>202</v>
      </c>
      <c r="B193" s="4" t="s">
        <v>21</v>
      </c>
      <c r="C193" s="16">
        <v>6.4</v>
      </c>
      <c r="D193" s="9" t="s">
        <v>10</v>
      </c>
      <c r="E193" s="16">
        <v>4.5999999999999996</v>
      </c>
    </row>
    <row r="194" spans="1:5" x14ac:dyDescent="0.35">
      <c r="A194" s="20" t="s">
        <v>203</v>
      </c>
      <c r="B194" s="8" t="s">
        <v>9</v>
      </c>
      <c r="C194" s="16">
        <v>5.4</v>
      </c>
      <c r="D194" s="9" t="s">
        <v>10</v>
      </c>
      <c r="E194" s="16">
        <v>3.5</v>
      </c>
    </row>
    <row r="195" spans="1:5" x14ac:dyDescent="0.35">
      <c r="A195" s="20" t="s">
        <v>204</v>
      </c>
      <c r="B195" s="8" t="s">
        <v>9</v>
      </c>
      <c r="C195" s="16">
        <v>6.4</v>
      </c>
      <c r="D195" s="9" t="s">
        <v>10</v>
      </c>
      <c r="E195" s="16">
        <v>1.1000000000000001</v>
      </c>
    </row>
    <row r="196" spans="1:5" x14ac:dyDescent="0.35">
      <c r="A196" s="20" t="s">
        <v>205</v>
      </c>
      <c r="B196" s="8" t="s">
        <v>9</v>
      </c>
      <c r="C196" s="16">
        <v>7.8</v>
      </c>
      <c r="D196" s="13" t="s">
        <v>6</v>
      </c>
      <c r="E196" s="16">
        <v>0.9</v>
      </c>
    </row>
    <row r="197" spans="1:5" x14ac:dyDescent="0.35">
      <c r="A197" s="20" t="s">
        <v>206</v>
      </c>
      <c r="B197" s="8" t="s">
        <v>9</v>
      </c>
      <c r="C197" s="17">
        <v>6.4</v>
      </c>
      <c r="D197" s="9" t="s">
        <v>10</v>
      </c>
      <c r="E197" s="17">
        <v>2.1</v>
      </c>
    </row>
    <row r="198" spans="1:5" x14ac:dyDescent="0.35">
      <c r="A198" s="20" t="s">
        <v>207</v>
      </c>
      <c r="B198" s="8" t="s">
        <v>9</v>
      </c>
      <c r="C198" s="17">
        <v>7.1</v>
      </c>
      <c r="D198" s="13" t="s">
        <v>6</v>
      </c>
      <c r="E198" s="17">
        <v>0.9</v>
      </c>
    </row>
    <row r="199" spans="1:5" x14ac:dyDescent="0.35">
      <c r="A199" s="20" t="s">
        <v>208</v>
      </c>
      <c r="B199" s="11" t="s">
        <v>16</v>
      </c>
      <c r="C199" s="17">
        <v>5.5</v>
      </c>
      <c r="D199" s="9" t="s">
        <v>10</v>
      </c>
      <c r="E199" s="17">
        <v>0.6</v>
      </c>
    </row>
    <row r="200" spans="1:5" x14ac:dyDescent="0.35">
      <c r="A200" s="20" t="s">
        <v>209</v>
      </c>
      <c r="B200" s="11" t="s">
        <v>16</v>
      </c>
      <c r="C200" s="17">
        <v>5.6</v>
      </c>
      <c r="D200" s="9" t="s">
        <v>10</v>
      </c>
      <c r="E200" s="18">
        <v>1.3</v>
      </c>
    </row>
    <row r="201" spans="1:5" x14ac:dyDescent="0.35">
      <c r="A201" s="20" t="s">
        <v>210</v>
      </c>
      <c r="B201" s="11" t="s">
        <v>16</v>
      </c>
      <c r="C201" s="16">
        <v>6.4</v>
      </c>
      <c r="D201" s="9" t="s">
        <v>10</v>
      </c>
      <c r="E201" s="16">
        <v>1.9</v>
      </c>
    </row>
    <row r="202" spans="1:5" x14ac:dyDescent="0.35">
      <c r="A202" s="20" t="s">
        <v>211</v>
      </c>
      <c r="B202" s="8" t="s">
        <v>9</v>
      </c>
      <c r="C202" s="17">
        <v>6.7</v>
      </c>
      <c r="D202" s="9" t="s">
        <v>10</v>
      </c>
      <c r="E202" s="18">
        <v>1.7</v>
      </c>
    </row>
    <row r="203" spans="1:5" x14ac:dyDescent="0.35">
      <c r="A203" s="20" t="s">
        <v>212</v>
      </c>
      <c r="B203" s="4" t="s">
        <v>21</v>
      </c>
      <c r="C203" s="17">
        <v>7.5</v>
      </c>
      <c r="D203" s="13" t="s">
        <v>6</v>
      </c>
      <c r="E203" s="18">
        <v>2.2999999999999998</v>
      </c>
    </row>
    <row r="204" spans="1:5" x14ac:dyDescent="0.35">
      <c r="A204" s="20" t="s">
        <v>213</v>
      </c>
      <c r="B204" s="4" t="s">
        <v>6</v>
      </c>
      <c r="C204" s="17">
        <v>6.7</v>
      </c>
      <c r="D204" s="9" t="s">
        <v>10</v>
      </c>
      <c r="E204" s="17">
        <v>1.1000000000000001</v>
      </c>
    </row>
    <row r="205" spans="1:5" x14ac:dyDescent="0.35">
      <c r="A205" s="20" t="s">
        <v>214</v>
      </c>
      <c r="B205" s="8" t="s">
        <v>9</v>
      </c>
      <c r="C205" s="17">
        <v>5.4</v>
      </c>
      <c r="D205" s="9" t="s">
        <v>10</v>
      </c>
      <c r="E205" s="17">
        <v>3.1</v>
      </c>
    </row>
    <row r="206" spans="1:5" x14ac:dyDescent="0.35">
      <c r="A206" s="20" t="s">
        <v>215</v>
      </c>
      <c r="B206" s="8" t="s">
        <v>9</v>
      </c>
      <c r="C206" s="16">
        <v>6.4</v>
      </c>
      <c r="D206" s="9" t="s">
        <v>10</v>
      </c>
      <c r="E206" s="16">
        <v>1.3</v>
      </c>
    </row>
    <row r="207" spans="1:5" x14ac:dyDescent="0.35">
      <c r="A207" s="20" t="s">
        <v>216</v>
      </c>
      <c r="B207" s="8" t="s">
        <v>9</v>
      </c>
      <c r="C207" s="16">
        <v>6.7</v>
      </c>
      <c r="D207" s="13" t="s">
        <v>6</v>
      </c>
      <c r="E207" s="16">
        <v>1.1000000000000001</v>
      </c>
    </row>
    <row r="208" spans="1:5" x14ac:dyDescent="0.35">
      <c r="A208" s="20" t="s">
        <v>217</v>
      </c>
      <c r="B208" s="8" t="s">
        <v>9</v>
      </c>
      <c r="C208" s="16">
        <v>6.7</v>
      </c>
      <c r="D208" s="13" t="s">
        <v>6</v>
      </c>
      <c r="E208" s="16">
        <v>2.2999999999999998</v>
      </c>
    </row>
    <row r="209" spans="1:5" x14ac:dyDescent="0.35">
      <c r="A209" s="20" t="s">
        <v>218</v>
      </c>
      <c r="B209" s="8" t="s">
        <v>9</v>
      </c>
      <c r="C209" s="16">
        <v>5.4</v>
      </c>
      <c r="D209" s="9" t="s">
        <v>10</v>
      </c>
      <c r="E209" s="16">
        <v>1.2</v>
      </c>
    </row>
    <row r="210" spans="1:5" x14ac:dyDescent="0.35">
      <c r="A210" s="20" t="s">
        <v>219</v>
      </c>
      <c r="B210" s="8" t="s">
        <v>9</v>
      </c>
      <c r="C210" s="16">
        <v>7.8</v>
      </c>
      <c r="D210" s="13" t="s">
        <v>6</v>
      </c>
      <c r="E210" s="16">
        <v>1.2</v>
      </c>
    </row>
    <row r="211" spans="1:5" x14ac:dyDescent="0.35">
      <c r="A211" s="20" t="s">
        <v>220</v>
      </c>
      <c r="B211" s="8" t="s">
        <v>9</v>
      </c>
      <c r="C211" s="17">
        <v>5.5</v>
      </c>
      <c r="D211" s="9" t="s">
        <v>10</v>
      </c>
      <c r="E211" s="17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opLeftCell="A4" workbookViewId="0">
      <selection activeCell="D81" sqref="D81"/>
    </sheetView>
  </sheetViews>
  <sheetFormatPr defaultRowHeight="14.5" x14ac:dyDescent="0.35"/>
  <cols>
    <col min="14" max="14" width="7.54296875" customWidth="1"/>
    <col min="15" max="15" width="78.453125" customWidth="1"/>
  </cols>
  <sheetData>
    <row r="1" spans="1:15" ht="29" x14ac:dyDescent="0.35">
      <c r="A1" s="22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I1" s="35" t="s">
        <v>228</v>
      </c>
      <c r="J1" s="35"/>
      <c r="K1" s="35"/>
      <c r="L1" s="35"/>
      <c r="M1" s="35"/>
      <c r="N1" s="35"/>
      <c r="O1" s="23" t="s">
        <v>229</v>
      </c>
    </row>
    <row r="2" spans="1:15" x14ac:dyDescent="0.35">
      <c r="A2" s="22">
        <v>25</v>
      </c>
      <c r="B2" t="s">
        <v>230</v>
      </c>
      <c r="C2">
        <v>41</v>
      </c>
      <c r="D2">
        <v>171</v>
      </c>
      <c r="E2">
        <v>60</v>
      </c>
      <c r="F2">
        <v>2</v>
      </c>
      <c r="G2">
        <v>60</v>
      </c>
    </row>
    <row r="3" spans="1:15" x14ac:dyDescent="0.35">
      <c r="A3" s="22">
        <v>26</v>
      </c>
      <c r="B3" t="s">
        <v>230</v>
      </c>
      <c r="C3">
        <v>32</v>
      </c>
      <c r="D3">
        <v>174</v>
      </c>
      <c r="E3">
        <v>103</v>
      </c>
      <c r="F3">
        <v>2</v>
      </c>
      <c r="G3">
        <v>103</v>
      </c>
    </row>
    <row r="4" spans="1:15" x14ac:dyDescent="0.35">
      <c r="A4" s="22">
        <v>1</v>
      </c>
      <c r="B4">
        <v>0</v>
      </c>
      <c r="C4">
        <v>22</v>
      </c>
      <c r="D4">
        <v>159</v>
      </c>
      <c r="E4">
        <v>58</v>
      </c>
      <c r="F4">
        <v>1</v>
      </c>
      <c r="G4">
        <v>54.2</v>
      </c>
    </row>
    <row r="5" spans="1:15" x14ac:dyDescent="0.35">
      <c r="A5" s="22">
        <v>2</v>
      </c>
      <c r="B5">
        <v>0</v>
      </c>
      <c r="C5">
        <v>46</v>
      </c>
      <c r="D5">
        <v>192</v>
      </c>
      <c r="E5">
        <v>60</v>
      </c>
      <c r="F5">
        <v>1</v>
      </c>
      <c r="G5">
        <v>54</v>
      </c>
    </row>
    <row r="6" spans="1:15" x14ac:dyDescent="0.35">
      <c r="A6" s="22">
        <v>3</v>
      </c>
      <c r="B6">
        <v>0</v>
      </c>
      <c r="C6">
        <v>55</v>
      </c>
      <c r="D6">
        <v>170</v>
      </c>
      <c r="E6">
        <v>64</v>
      </c>
      <c r="F6">
        <v>1</v>
      </c>
      <c r="G6">
        <v>63.3</v>
      </c>
    </row>
    <row r="7" spans="1:15" x14ac:dyDescent="0.35">
      <c r="A7" s="22">
        <v>4</v>
      </c>
      <c r="B7">
        <v>0</v>
      </c>
      <c r="C7">
        <v>33</v>
      </c>
      <c r="D7">
        <v>171</v>
      </c>
      <c r="E7">
        <v>64</v>
      </c>
      <c r="F7">
        <v>1</v>
      </c>
      <c r="G7">
        <v>61.1</v>
      </c>
    </row>
    <row r="8" spans="1:15" x14ac:dyDescent="0.35">
      <c r="A8" s="22">
        <v>5</v>
      </c>
      <c r="B8">
        <v>0</v>
      </c>
      <c r="C8">
        <v>50</v>
      </c>
      <c r="D8">
        <v>170</v>
      </c>
      <c r="E8">
        <v>65</v>
      </c>
      <c r="F8">
        <v>1</v>
      </c>
      <c r="G8">
        <v>62.2</v>
      </c>
    </row>
    <row r="9" spans="1:15" x14ac:dyDescent="0.35">
      <c r="A9" s="22">
        <v>6</v>
      </c>
      <c r="B9">
        <v>0</v>
      </c>
      <c r="C9">
        <v>50</v>
      </c>
      <c r="D9">
        <v>201</v>
      </c>
      <c r="E9">
        <v>66</v>
      </c>
      <c r="F9">
        <v>1</v>
      </c>
      <c r="G9">
        <v>64</v>
      </c>
    </row>
    <row r="10" spans="1:15" x14ac:dyDescent="0.35">
      <c r="A10" s="22">
        <v>7</v>
      </c>
      <c r="B10">
        <v>0</v>
      </c>
      <c r="C10">
        <v>37</v>
      </c>
      <c r="D10">
        <v>174</v>
      </c>
      <c r="E10">
        <v>67</v>
      </c>
      <c r="F10">
        <v>1</v>
      </c>
      <c r="G10">
        <v>65</v>
      </c>
    </row>
    <row r="11" spans="1:15" x14ac:dyDescent="0.35">
      <c r="A11" s="22">
        <v>8</v>
      </c>
      <c r="B11">
        <v>0</v>
      </c>
      <c r="C11">
        <v>28</v>
      </c>
      <c r="D11">
        <v>176</v>
      </c>
      <c r="E11">
        <v>69</v>
      </c>
      <c r="F11">
        <v>1</v>
      </c>
      <c r="G11">
        <v>60.5</v>
      </c>
    </row>
    <row r="12" spans="1:15" x14ac:dyDescent="0.35">
      <c r="A12" s="22">
        <v>9</v>
      </c>
      <c r="B12">
        <v>0</v>
      </c>
      <c r="C12">
        <v>28</v>
      </c>
      <c r="D12">
        <v>165</v>
      </c>
      <c r="E12">
        <v>70</v>
      </c>
      <c r="F12">
        <v>1</v>
      </c>
      <c r="G12">
        <v>68.099999999999994</v>
      </c>
    </row>
    <row r="13" spans="1:15" x14ac:dyDescent="0.35">
      <c r="A13" s="22">
        <v>10</v>
      </c>
      <c r="B13">
        <v>0</v>
      </c>
      <c r="C13">
        <v>45</v>
      </c>
      <c r="D13">
        <v>165</v>
      </c>
      <c r="E13">
        <v>70</v>
      </c>
      <c r="F13">
        <v>1</v>
      </c>
      <c r="G13">
        <v>66.900000000000006</v>
      </c>
    </row>
    <row r="14" spans="1:15" x14ac:dyDescent="0.35">
      <c r="A14" s="22">
        <v>11</v>
      </c>
      <c r="B14">
        <v>0</v>
      </c>
      <c r="C14">
        <v>60</v>
      </c>
      <c r="D14">
        <v>173</v>
      </c>
      <c r="E14">
        <v>72</v>
      </c>
      <c r="F14">
        <v>1</v>
      </c>
      <c r="G14">
        <v>70.5</v>
      </c>
    </row>
    <row r="15" spans="1:15" x14ac:dyDescent="0.35">
      <c r="A15" s="22">
        <v>12</v>
      </c>
      <c r="B15">
        <v>0</v>
      </c>
      <c r="C15">
        <v>48</v>
      </c>
      <c r="D15">
        <v>156</v>
      </c>
      <c r="E15">
        <v>72</v>
      </c>
      <c r="F15">
        <v>1</v>
      </c>
      <c r="G15">
        <v>69</v>
      </c>
    </row>
    <row r="16" spans="1:15" x14ac:dyDescent="0.35">
      <c r="A16" s="22">
        <v>13</v>
      </c>
      <c r="B16">
        <v>0</v>
      </c>
      <c r="C16">
        <v>41</v>
      </c>
      <c r="D16">
        <v>163</v>
      </c>
      <c r="E16">
        <v>72</v>
      </c>
      <c r="F16">
        <v>1</v>
      </c>
      <c r="G16">
        <v>68.400000000000006</v>
      </c>
    </row>
    <row r="17" spans="1:7" x14ac:dyDescent="0.35">
      <c r="A17" s="22">
        <v>14</v>
      </c>
      <c r="B17">
        <v>0</v>
      </c>
      <c r="C17">
        <v>37</v>
      </c>
      <c r="D17">
        <v>167</v>
      </c>
      <c r="E17">
        <v>82</v>
      </c>
      <c r="F17">
        <v>1</v>
      </c>
      <c r="G17">
        <v>81.099999999999994</v>
      </c>
    </row>
    <row r="18" spans="1:7" x14ac:dyDescent="0.35">
      <c r="A18" s="22">
        <v>27</v>
      </c>
      <c r="B18">
        <v>0</v>
      </c>
      <c r="C18">
        <v>44</v>
      </c>
      <c r="D18">
        <v>174</v>
      </c>
      <c r="E18">
        <v>58</v>
      </c>
      <c r="F18">
        <v>2</v>
      </c>
      <c r="G18">
        <v>60.1</v>
      </c>
    </row>
    <row r="19" spans="1:7" x14ac:dyDescent="0.35">
      <c r="A19" s="22">
        <v>28</v>
      </c>
      <c r="B19">
        <v>0</v>
      </c>
      <c r="C19">
        <v>37</v>
      </c>
      <c r="D19">
        <v>172</v>
      </c>
      <c r="E19">
        <v>58</v>
      </c>
      <c r="F19">
        <v>2</v>
      </c>
      <c r="G19">
        <v>56</v>
      </c>
    </row>
    <row r="20" spans="1:7" x14ac:dyDescent="0.35">
      <c r="A20" s="22">
        <v>29</v>
      </c>
      <c r="B20">
        <v>0</v>
      </c>
      <c r="C20">
        <v>41</v>
      </c>
      <c r="D20">
        <v>165</v>
      </c>
      <c r="E20">
        <v>59</v>
      </c>
      <c r="F20">
        <v>2</v>
      </c>
      <c r="G20">
        <v>57.3</v>
      </c>
    </row>
    <row r="21" spans="1:7" x14ac:dyDescent="0.35">
      <c r="A21" s="22">
        <v>30</v>
      </c>
      <c r="B21">
        <v>0</v>
      </c>
      <c r="C21">
        <v>43</v>
      </c>
      <c r="D21">
        <v>171</v>
      </c>
      <c r="E21">
        <v>61</v>
      </c>
      <c r="F21">
        <v>2</v>
      </c>
      <c r="G21">
        <v>56.7</v>
      </c>
    </row>
    <row r="22" spans="1:7" x14ac:dyDescent="0.35">
      <c r="A22" s="22">
        <v>31</v>
      </c>
      <c r="B22">
        <v>0</v>
      </c>
      <c r="C22">
        <v>20</v>
      </c>
      <c r="D22">
        <v>169</v>
      </c>
      <c r="E22">
        <v>62</v>
      </c>
      <c r="F22">
        <v>2</v>
      </c>
      <c r="G22">
        <v>55</v>
      </c>
    </row>
    <row r="23" spans="1:7" x14ac:dyDescent="0.35">
      <c r="A23" s="22">
        <v>32</v>
      </c>
      <c r="B23">
        <v>0</v>
      </c>
      <c r="C23">
        <v>51</v>
      </c>
      <c r="D23">
        <v>174</v>
      </c>
      <c r="E23">
        <v>63</v>
      </c>
      <c r="F23">
        <v>2</v>
      </c>
      <c r="G23">
        <v>62.4</v>
      </c>
    </row>
    <row r="24" spans="1:7" x14ac:dyDescent="0.35">
      <c r="A24" s="22">
        <v>33</v>
      </c>
      <c r="B24">
        <v>0</v>
      </c>
      <c r="C24">
        <v>31</v>
      </c>
      <c r="D24">
        <v>163</v>
      </c>
      <c r="E24">
        <v>63</v>
      </c>
      <c r="F24">
        <v>2</v>
      </c>
      <c r="G24">
        <v>60.3</v>
      </c>
    </row>
    <row r="25" spans="1:7" x14ac:dyDescent="0.35">
      <c r="A25" s="22">
        <v>34</v>
      </c>
      <c r="B25">
        <v>0</v>
      </c>
      <c r="C25">
        <v>54</v>
      </c>
      <c r="D25">
        <v>173</v>
      </c>
      <c r="E25">
        <v>63</v>
      </c>
      <c r="F25">
        <v>2</v>
      </c>
      <c r="G25">
        <v>59.4</v>
      </c>
    </row>
    <row r="26" spans="1:7" x14ac:dyDescent="0.35">
      <c r="A26" s="22">
        <v>35</v>
      </c>
      <c r="B26">
        <v>0</v>
      </c>
      <c r="C26">
        <v>50</v>
      </c>
      <c r="D26">
        <v>166</v>
      </c>
      <c r="E26">
        <v>65</v>
      </c>
      <c r="F26">
        <v>2</v>
      </c>
      <c r="G26">
        <v>62</v>
      </c>
    </row>
    <row r="27" spans="1:7" x14ac:dyDescent="0.35">
      <c r="A27" s="22">
        <v>36</v>
      </c>
      <c r="B27">
        <v>0</v>
      </c>
      <c r="C27">
        <v>48</v>
      </c>
      <c r="D27">
        <v>163</v>
      </c>
      <c r="E27">
        <v>66</v>
      </c>
      <c r="F27">
        <v>2</v>
      </c>
      <c r="G27">
        <v>64</v>
      </c>
    </row>
    <row r="28" spans="1:7" x14ac:dyDescent="0.35">
      <c r="A28" s="22">
        <v>37</v>
      </c>
      <c r="B28">
        <v>0</v>
      </c>
      <c r="C28">
        <v>16</v>
      </c>
      <c r="D28">
        <v>165</v>
      </c>
      <c r="E28">
        <v>68</v>
      </c>
      <c r="F28">
        <v>2</v>
      </c>
      <c r="G28">
        <v>63.8</v>
      </c>
    </row>
    <row r="29" spans="1:7" x14ac:dyDescent="0.35">
      <c r="A29" s="22">
        <v>38</v>
      </c>
      <c r="B29">
        <v>0</v>
      </c>
      <c r="C29">
        <v>37</v>
      </c>
      <c r="D29">
        <v>167</v>
      </c>
      <c r="E29">
        <v>68</v>
      </c>
      <c r="F29">
        <v>2</v>
      </c>
      <c r="G29">
        <v>63.3</v>
      </c>
    </row>
    <row r="30" spans="1:7" x14ac:dyDescent="0.35">
      <c r="A30" s="22">
        <v>39</v>
      </c>
      <c r="B30">
        <v>0</v>
      </c>
      <c r="C30">
        <v>30</v>
      </c>
      <c r="D30">
        <v>161</v>
      </c>
      <c r="E30">
        <v>76</v>
      </c>
      <c r="F30">
        <v>2</v>
      </c>
      <c r="G30">
        <v>72.7</v>
      </c>
    </row>
    <row r="31" spans="1:7" x14ac:dyDescent="0.35">
      <c r="A31" s="22">
        <v>40</v>
      </c>
      <c r="B31">
        <v>0</v>
      </c>
      <c r="C31">
        <v>29</v>
      </c>
      <c r="D31">
        <v>169</v>
      </c>
      <c r="E31">
        <v>77</v>
      </c>
      <c r="F31">
        <v>2</v>
      </c>
      <c r="G31">
        <v>77.5</v>
      </c>
    </row>
    <row r="32" spans="1:7" x14ac:dyDescent="0.35">
      <c r="A32" s="22">
        <v>52</v>
      </c>
      <c r="B32">
        <v>0</v>
      </c>
      <c r="C32">
        <v>51</v>
      </c>
      <c r="D32">
        <v>165</v>
      </c>
      <c r="E32">
        <v>60</v>
      </c>
      <c r="F32">
        <v>3</v>
      </c>
      <c r="G32">
        <v>53</v>
      </c>
    </row>
    <row r="33" spans="1:7" x14ac:dyDescent="0.35">
      <c r="A33" s="22">
        <v>53</v>
      </c>
      <c r="B33">
        <v>0</v>
      </c>
      <c r="C33">
        <v>35</v>
      </c>
      <c r="D33">
        <v>169</v>
      </c>
      <c r="E33">
        <v>62</v>
      </c>
      <c r="F33">
        <v>3</v>
      </c>
      <c r="G33">
        <v>56.4</v>
      </c>
    </row>
    <row r="34" spans="1:7" x14ac:dyDescent="0.35">
      <c r="A34" s="22">
        <v>54</v>
      </c>
      <c r="B34">
        <v>0</v>
      </c>
      <c r="C34">
        <v>21</v>
      </c>
      <c r="D34">
        <v>159</v>
      </c>
      <c r="E34">
        <v>64</v>
      </c>
      <c r="F34">
        <v>3</v>
      </c>
      <c r="G34">
        <v>60.6</v>
      </c>
    </row>
    <row r="35" spans="1:7" x14ac:dyDescent="0.35">
      <c r="A35" s="22">
        <v>55</v>
      </c>
      <c r="B35">
        <v>0</v>
      </c>
      <c r="C35">
        <v>22</v>
      </c>
      <c r="D35">
        <v>169</v>
      </c>
      <c r="E35">
        <v>65</v>
      </c>
      <c r="F35">
        <v>3</v>
      </c>
      <c r="G35">
        <v>58.2</v>
      </c>
    </row>
    <row r="36" spans="1:7" x14ac:dyDescent="0.35">
      <c r="A36" s="22">
        <v>56</v>
      </c>
      <c r="B36">
        <v>0</v>
      </c>
      <c r="C36">
        <v>36</v>
      </c>
      <c r="D36">
        <v>160</v>
      </c>
      <c r="E36">
        <v>66</v>
      </c>
      <c r="F36">
        <v>3</v>
      </c>
      <c r="G36">
        <v>58.2</v>
      </c>
    </row>
    <row r="37" spans="1:7" x14ac:dyDescent="0.35">
      <c r="A37" s="22">
        <v>57</v>
      </c>
      <c r="B37">
        <v>0</v>
      </c>
      <c r="C37">
        <v>20</v>
      </c>
      <c r="D37">
        <v>169</v>
      </c>
      <c r="E37">
        <v>67</v>
      </c>
      <c r="F37">
        <v>3</v>
      </c>
      <c r="G37">
        <v>61.6</v>
      </c>
    </row>
    <row r="38" spans="1:7" x14ac:dyDescent="0.35">
      <c r="A38" s="22">
        <v>58</v>
      </c>
      <c r="B38">
        <v>0</v>
      </c>
      <c r="C38">
        <v>35</v>
      </c>
      <c r="D38">
        <v>163</v>
      </c>
      <c r="E38">
        <v>67</v>
      </c>
      <c r="F38">
        <v>3</v>
      </c>
      <c r="G38">
        <v>60.2</v>
      </c>
    </row>
    <row r="39" spans="1:7" x14ac:dyDescent="0.35">
      <c r="A39" s="22">
        <v>59</v>
      </c>
      <c r="B39">
        <v>0</v>
      </c>
      <c r="C39">
        <v>45</v>
      </c>
      <c r="D39">
        <v>155</v>
      </c>
      <c r="E39">
        <v>69</v>
      </c>
      <c r="F39">
        <v>3</v>
      </c>
      <c r="G39">
        <v>61.8</v>
      </c>
    </row>
    <row r="40" spans="1:7" x14ac:dyDescent="0.35">
      <c r="A40" s="22">
        <v>60</v>
      </c>
      <c r="B40">
        <v>0</v>
      </c>
      <c r="C40">
        <v>58</v>
      </c>
      <c r="D40">
        <v>141</v>
      </c>
      <c r="E40">
        <v>70</v>
      </c>
      <c r="F40">
        <v>3</v>
      </c>
      <c r="G40">
        <v>63</v>
      </c>
    </row>
    <row r="41" spans="1:7" x14ac:dyDescent="0.35">
      <c r="A41" s="22">
        <v>61</v>
      </c>
      <c r="B41">
        <v>0</v>
      </c>
      <c r="C41">
        <v>37</v>
      </c>
      <c r="D41">
        <v>170</v>
      </c>
      <c r="E41">
        <v>70</v>
      </c>
      <c r="F41">
        <v>3</v>
      </c>
      <c r="G41">
        <v>62.7</v>
      </c>
    </row>
    <row r="42" spans="1:7" x14ac:dyDescent="0.35">
      <c r="A42" s="22">
        <v>62</v>
      </c>
      <c r="B42">
        <v>0</v>
      </c>
      <c r="C42">
        <v>31</v>
      </c>
      <c r="D42">
        <v>170</v>
      </c>
      <c r="E42">
        <v>72</v>
      </c>
      <c r="F42">
        <v>3</v>
      </c>
      <c r="G42">
        <v>71.099999999999994</v>
      </c>
    </row>
    <row r="43" spans="1:7" x14ac:dyDescent="0.35">
      <c r="A43" s="22">
        <v>63</v>
      </c>
      <c r="B43">
        <v>0</v>
      </c>
      <c r="C43">
        <v>35</v>
      </c>
      <c r="D43">
        <v>171</v>
      </c>
      <c r="E43">
        <v>72</v>
      </c>
      <c r="F43">
        <v>3</v>
      </c>
      <c r="G43">
        <v>64.400000000000006</v>
      </c>
    </row>
    <row r="44" spans="1:7" x14ac:dyDescent="0.35">
      <c r="A44" s="22">
        <v>64</v>
      </c>
      <c r="B44">
        <v>0</v>
      </c>
      <c r="C44">
        <v>56</v>
      </c>
      <c r="D44">
        <v>171</v>
      </c>
      <c r="E44">
        <v>73</v>
      </c>
      <c r="F44">
        <v>3</v>
      </c>
      <c r="G44">
        <v>68.900000000000006</v>
      </c>
    </row>
    <row r="45" spans="1:7" x14ac:dyDescent="0.35">
      <c r="A45" s="22">
        <v>65</v>
      </c>
      <c r="B45">
        <v>0</v>
      </c>
      <c r="C45">
        <v>48</v>
      </c>
      <c r="D45">
        <v>153</v>
      </c>
      <c r="E45">
        <v>75</v>
      </c>
      <c r="F45">
        <v>3</v>
      </c>
      <c r="G45">
        <v>68.7</v>
      </c>
    </row>
    <row r="46" spans="1:7" x14ac:dyDescent="0.35">
      <c r="A46" s="22">
        <v>66</v>
      </c>
      <c r="B46">
        <v>0</v>
      </c>
      <c r="C46">
        <v>41</v>
      </c>
      <c r="D46">
        <v>157</v>
      </c>
      <c r="E46">
        <v>76</v>
      </c>
      <c r="F46">
        <v>3</v>
      </c>
      <c r="G46">
        <v>71</v>
      </c>
    </row>
    <row r="47" spans="1:7" x14ac:dyDescent="0.35">
      <c r="A47" s="22">
        <v>15</v>
      </c>
      <c r="B47">
        <v>1</v>
      </c>
      <c r="C47">
        <v>39</v>
      </c>
      <c r="D47">
        <v>168</v>
      </c>
      <c r="E47">
        <v>71</v>
      </c>
      <c r="F47">
        <v>1</v>
      </c>
      <c r="G47">
        <v>71.599999999999994</v>
      </c>
    </row>
    <row r="48" spans="1:7" x14ac:dyDescent="0.35">
      <c r="A48" s="22">
        <v>16</v>
      </c>
      <c r="B48">
        <v>1</v>
      </c>
      <c r="C48">
        <v>31</v>
      </c>
      <c r="D48">
        <v>158</v>
      </c>
      <c r="E48">
        <v>72</v>
      </c>
      <c r="F48">
        <v>1</v>
      </c>
      <c r="G48">
        <v>70.900000000000006</v>
      </c>
    </row>
    <row r="49" spans="1:7" x14ac:dyDescent="0.35">
      <c r="A49" s="22">
        <v>17</v>
      </c>
      <c r="B49">
        <v>1</v>
      </c>
      <c r="C49">
        <v>40</v>
      </c>
      <c r="D49">
        <v>173</v>
      </c>
      <c r="E49">
        <v>74</v>
      </c>
      <c r="F49">
        <v>1</v>
      </c>
      <c r="G49">
        <v>69.5</v>
      </c>
    </row>
    <row r="50" spans="1:7" x14ac:dyDescent="0.35">
      <c r="A50" s="22">
        <v>18</v>
      </c>
      <c r="B50">
        <v>1</v>
      </c>
      <c r="C50">
        <v>50</v>
      </c>
      <c r="D50">
        <v>160</v>
      </c>
      <c r="E50">
        <v>78</v>
      </c>
      <c r="F50">
        <v>1</v>
      </c>
      <c r="G50">
        <v>73.900000000000006</v>
      </c>
    </row>
    <row r="51" spans="1:7" x14ac:dyDescent="0.35">
      <c r="A51" s="22">
        <v>19</v>
      </c>
      <c r="B51">
        <v>1</v>
      </c>
      <c r="C51">
        <v>43</v>
      </c>
      <c r="D51">
        <v>162</v>
      </c>
      <c r="E51">
        <v>80</v>
      </c>
      <c r="F51">
        <v>1</v>
      </c>
      <c r="G51">
        <v>71</v>
      </c>
    </row>
    <row r="52" spans="1:7" x14ac:dyDescent="0.35">
      <c r="A52" s="22">
        <v>20</v>
      </c>
      <c r="B52">
        <v>1</v>
      </c>
      <c r="C52">
        <v>25</v>
      </c>
      <c r="D52">
        <v>165</v>
      </c>
      <c r="E52">
        <v>80</v>
      </c>
      <c r="F52">
        <v>1</v>
      </c>
      <c r="G52">
        <v>77.599999999999994</v>
      </c>
    </row>
    <row r="53" spans="1:7" x14ac:dyDescent="0.35">
      <c r="A53" s="22">
        <v>21</v>
      </c>
      <c r="B53">
        <v>1</v>
      </c>
      <c r="C53">
        <v>52</v>
      </c>
      <c r="D53">
        <v>177</v>
      </c>
      <c r="E53">
        <v>83</v>
      </c>
      <c r="F53">
        <v>1</v>
      </c>
      <c r="G53">
        <v>79.099999999999994</v>
      </c>
    </row>
    <row r="54" spans="1:7" x14ac:dyDescent="0.35">
      <c r="A54" s="22">
        <v>22</v>
      </c>
      <c r="B54">
        <v>1</v>
      </c>
      <c r="C54">
        <v>42</v>
      </c>
      <c r="D54">
        <v>166</v>
      </c>
      <c r="E54">
        <v>85</v>
      </c>
      <c r="F54">
        <v>1</v>
      </c>
      <c r="G54">
        <v>81.5</v>
      </c>
    </row>
    <row r="55" spans="1:7" x14ac:dyDescent="0.35">
      <c r="A55" s="22">
        <v>23</v>
      </c>
      <c r="B55">
        <v>1</v>
      </c>
      <c r="C55">
        <v>39</v>
      </c>
      <c r="D55">
        <v>166</v>
      </c>
      <c r="E55">
        <v>87</v>
      </c>
      <c r="F55">
        <v>1</v>
      </c>
      <c r="G55">
        <v>81.900000000000006</v>
      </c>
    </row>
    <row r="56" spans="1:7" x14ac:dyDescent="0.35">
      <c r="A56" s="22">
        <v>24</v>
      </c>
      <c r="B56">
        <v>1</v>
      </c>
      <c r="C56">
        <v>40</v>
      </c>
      <c r="D56">
        <v>190</v>
      </c>
      <c r="E56">
        <v>88</v>
      </c>
      <c r="F56">
        <v>1</v>
      </c>
      <c r="G56">
        <v>84.5</v>
      </c>
    </row>
    <row r="57" spans="1:7" x14ac:dyDescent="0.35">
      <c r="A57" s="22">
        <v>41</v>
      </c>
      <c r="B57">
        <v>1</v>
      </c>
      <c r="C57">
        <v>51</v>
      </c>
      <c r="D57">
        <v>191</v>
      </c>
      <c r="E57">
        <v>71</v>
      </c>
      <c r="F57">
        <v>2</v>
      </c>
      <c r="G57">
        <v>66.8</v>
      </c>
    </row>
    <row r="58" spans="1:7" x14ac:dyDescent="0.35">
      <c r="A58" s="22">
        <v>42</v>
      </c>
      <c r="B58">
        <v>1</v>
      </c>
      <c r="C58">
        <v>38</v>
      </c>
      <c r="D58">
        <v>199</v>
      </c>
      <c r="E58">
        <v>75</v>
      </c>
      <c r="F58">
        <v>2</v>
      </c>
      <c r="G58">
        <v>72.599999999999994</v>
      </c>
    </row>
    <row r="59" spans="1:7" x14ac:dyDescent="0.35">
      <c r="A59" s="22">
        <v>43</v>
      </c>
      <c r="B59">
        <v>1</v>
      </c>
      <c r="C59">
        <v>54</v>
      </c>
      <c r="D59">
        <v>196</v>
      </c>
      <c r="E59">
        <v>75</v>
      </c>
      <c r="F59">
        <v>2</v>
      </c>
      <c r="G59">
        <v>69.2</v>
      </c>
    </row>
    <row r="60" spans="1:7" x14ac:dyDescent="0.35">
      <c r="A60" s="22">
        <v>44</v>
      </c>
      <c r="B60">
        <v>1</v>
      </c>
      <c r="C60">
        <v>33</v>
      </c>
      <c r="D60">
        <v>190</v>
      </c>
      <c r="E60">
        <v>76</v>
      </c>
      <c r="F60">
        <v>2</v>
      </c>
      <c r="G60">
        <v>72.5</v>
      </c>
    </row>
    <row r="61" spans="1:7" x14ac:dyDescent="0.35">
      <c r="A61" s="22">
        <v>45</v>
      </c>
      <c r="B61">
        <v>1</v>
      </c>
      <c r="C61">
        <v>45</v>
      </c>
      <c r="D61">
        <v>160</v>
      </c>
      <c r="E61">
        <v>78</v>
      </c>
      <c r="F61">
        <v>2</v>
      </c>
      <c r="G61">
        <v>72.7</v>
      </c>
    </row>
    <row r="62" spans="1:7" x14ac:dyDescent="0.35">
      <c r="A62" s="22">
        <v>46</v>
      </c>
      <c r="B62">
        <v>1</v>
      </c>
      <c r="C62">
        <v>37</v>
      </c>
      <c r="D62">
        <v>194</v>
      </c>
      <c r="E62">
        <v>78</v>
      </c>
      <c r="F62">
        <v>2</v>
      </c>
      <c r="G62">
        <v>76.3</v>
      </c>
    </row>
    <row r="63" spans="1:7" x14ac:dyDescent="0.35">
      <c r="A63" s="22">
        <v>47</v>
      </c>
      <c r="B63">
        <v>1</v>
      </c>
      <c r="C63">
        <v>44</v>
      </c>
      <c r="D63">
        <v>163</v>
      </c>
      <c r="E63">
        <v>79</v>
      </c>
      <c r="F63">
        <v>2</v>
      </c>
      <c r="G63">
        <v>73.599999999999994</v>
      </c>
    </row>
    <row r="64" spans="1:7" x14ac:dyDescent="0.35">
      <c r="A64" s="22">
        <v>48</v>
      </c>
      <c r="B64">
        <v>1</v>
      </c>
      <c r="C64">
        <v>40</v>
      </c>
      <c r="D64">
        <v>171</v>
      </c>
      <c r="E64">
        <v>79</v>
      </c>
      <c r="F64">
        <v>2</v>
      </c>
      <c r="G64">
        <v>72.900000000000006</v>
      </c>
    </row>
    <row r="65" spans="1:7" x14ac:dyDescent="0.35">
      <c r="A65" s="22">
        <v>49</v>
      </c>
      <c r="B65">
        <v>1</v>
      </c>
      <c r="C65">
        <v>37</v>
      </c>
      <c r="D65">
        <v>198</v>
      </c>
      <c r="E65">
        <v>79</v>
      </c>
      <c r="F65">
        <v>2</v>
      </c>
      <c r="G65">
        <v>71.099999999999994</v>
      </c>
    </row>
    <row r="66" spans="1:7" x14ac:dyDescent="0.35">
      <c r="A66" s="22">
        <v>50</v>
      </c>
      <c r="B66">
        <v>1</v>
      </c>
      <c r="C66">
        <v>39</v>
      </c>
      <c r="D66">
        <v>180</v>
      </c>
      <c r="E66">
        <v>80</v>
      </c>
      <c r="F66">
        <v>2</v>
      </c>
      <c r="G66">
        <v>81.400000000000006</v>
      </c>
    </row>
    <row r="67" spans="1:7" x14ac:dyDescent="0.35">
      <c r="A67" s="22">
        <v>51</v>
      </c>
      <c r="B67">
        <v>1</v>
      </c>
      <c r="C67">
        <v>31</v>
      </c>
      <c r="D67">
        <v>182</v>
      </c>
      <c r="E67">
        <v>80</v>
      </c>
      <c r="F67">
        <v>2</v>
      </c>
      <c r="G67">
        <v>75.7</v>
      </c>
    </row>
    <row r="68" spans="1:7" x14ac:dyDescent="0.35">
      <c r="A68" s="22">
        <v>67</v>
      </c>
      <c r="B68">
        <v>1</v>
      </c>
      <c r="C68">
        <v>36</v>
      </c>
      <c r="D68">
        <v>155</v>
      </c>
      <c r="E68">
        <v>71</v>
      </c>
      <c r="F68">
        <v>3</v>
      </c>
      <c r="G68">
        <v>68.5</v>
      </c>
    </row>
    <row r="69" spans="1:7" x14ac:dyDescent="0.35">
      <c r="A69" s="22">
        <v>68</v>
      </c>
      <c r="B69">
        <v>1</v>
      </c>
      <c r="C69">
        <v>47</v>
      </c>
      <c r="D69">
        <v>179</v>
      </c>
      <c r="E69">
        <v>73</v>
      </c>
      <c r="F69">
        <v>3</v>
      </c>
      <c r="G69">
        <v>72.099999999999994</v>
      </c>
    </row>
    <row r="70" spans="1:7" x14ac:dyDescent="0.35">
      <c r="A70" s="22">
        <v>69</v>
      </c>
      <c r="B70">
        <v>1</v>
      </c>
      <c r="C70">
        <v>29</v>
      </c>
      <c r="D70">
        <v>166</v>
      </c>
      <c r="E70">
        <v>76</v>
      </c>
      <c r="F70">
        <v>3</v>
      </c>
      <c r="G70">
        <v>72.5</v>
      </c>
    </row>
    <row r="71" spans="1:7" x14ac:dyDescent="0.35">
      <c r="A71" s="22">
        <v>70</v>
      </c>
      <c r="B71">
        <v>1</v>
      </c>
      <c r="C71">
        <v>37</v>
      </c>
      <c r="D71">
        <v>173</v>
      </c>
      <c r="E71">
        <v>78</v>
      </c>
      <c r="F71">
        <v>3</v>
      </c>
      <c r="G71">
        <v>77.5</v>
      </c>
    </row>
    <row r="72" spans="1:7" x14ac:dyDescent="0.35">
      <c r="A72" s="22">
        <v>71</v>
      </c>
      <c r="B72">
        <v>1</v>
      </c>
      <c r="C72">
        <v>31</v>
      </c>
      <c r="D72">
        <v>177</v>
      </c>
      <c r="E72">
        <v>78</v>
      </c>
      <c r="F72">
        <v>3</v>
      </c>
      <c r="G72">
        <v>75.2</v>
      </c>
    </row>
    <row r="73" spans="1:7" x14ac:dyDescent="0.35">
      <c r="A73" s="22">
        <v>72</v>
      </c>
      <c r="B73">
        <v>1</v>
      </c>
      <c r="C73">
        <v>26</v>
      </c>
      <c r="D73">
        <v>179</v>
      </c>
      <c r="E73">
        <v>78</v>
      </c>
      <c r="F73">
        <v>3</v>
      </c>
      <c r="G73">
        <v>69.400000000000006</v>
      </c>
    </row>
    <row r="74" spans="1:7" x14ac:dyDescent="0.35">
      <c r="A74" s="22">
        <v>73</v>
      </c>
      <c r="B74">
        <v>1</v>
      </c>
      <c r="C74">
        <v>40</v>
      </c>
      <c r="D74">
        <v>179</v>
      </c>
      <c r="E74">
        <v>79</v>
      </c>
      <c r="F74">
        <v>3</v>
      </c>
      <c r="G74">
        <v>74.5</v>
      </c>
    </row>
    <row r="75" spans="1:7" x14ac:dyDescent="0.35">
      <c r="A75" s="22">
        <v>74</v>
      </c>
      <c r="B75">
        <v>1</v>
      </c>
      <c r="C75">
        <v>35</v>
      </c>
      <c r="D75">
        <v>183</v>
      </c>
      <c r="E75">
        <v>83</v>
      </c>
      <c r="F75">
        <v>3</v>
      </c>
      <c r="G75">
        <v>80.2</v>
      </c>
    </row>
    <row r="76" spans="1:7" x14ac:dyDescent="0.35">
      <c r="A76" s="22">
        <v>75</v>
      </c>
      <c r="B76">
        <v>1</v>
      </c>
      <c r="C76">
        <v>49</v>
      </c>
      <c r="D76">
        <v>177</v>
      </c>
      <c r="E76">
        <v>84</v>
      </c>
      <c r="F76">
        <v>3</v>
      </c>
      <c r="G76">
        <v>79.900000000000006</v>
      </c>
    </row>
    <row r="77" spans="1:7" x14ac:dyDescent="0.35">
      <c r="A77" s="22">
        <v>76</v>
      </c>
      <c r="B77">
        <v>1</v>
      </c>
      <c r="C77">
        <v>28</v>
      </c>
      <c r="D77">
        <v>164</v>
      </c>
      <c r="E77">
        <v>85</v>
      </c>
      <c r="F77">
        <v>3</v>
      </c>
      <c r="G77">
        <v>79.7</v>
      </c>
    </row>
    <row r="78" spans="1:7" x14ac:dyDescent="0.35">
      <c r="A78" s="22">
        <v>77</v>
      </c>
      <c r="B78">
        <v>1</v>
      </c>
      <c r="C78">
        <v>40</v>
      </c>
      <c r="D78">
        <v>167</v>
      </c>
      <c r="E78">
        <v>87</v>
      </c>
      <c r="F78">
        <v>3</v>
      </c>
      <c r="G78">
        <v>77.8</v>
      </c>
    </row>
    <row r="79" spans="1:7" x14ac:dyDescent="0.35">
      <c r="A79" s="22">
        <v>78</v>
      </c>
      <c r="B79">
        <v>1</v>
      </c>
      <c r="C79">
        <v>51</v>
      </c>
      <c r="D79">
        <v>175</v>
      </c>
      <c r="E79">
        <v>88</v>
      </c>
      <c r="F79">
        <v>3</v>
      </c>
      <c r="G79">
        <v>81.900000000000006</v>
      </c>
    </row>
  </sheetData>
  <mergeCells count="1">
    <mergeCell ref="I1:N1"/>
  </mergeCells>
  <hyperlinks>
    <hyperlink ref="O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реклама</vt:lpstr>
      <vt:lpstr>cofein</vt:lpstr>
      <vt:lpstr>Лсс</vt:lpstr>
      <vt:lpstr>ген-цит</vt:lpstr>
      <vt:lpstr>диеты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Axanka</dc:creator>
  <cp:lastModifiedBy>Axanka</cp:lastModifiedBy>
  <dcterms:created xsi:type="dcterms:W3CDTF">2025-10-02T11:47:37Z</dcterms:created>
  <dcterms:modified xsi:type="dcterms:W3CDTF">2026-01-12T00:49:12Z</dcterms:modified>
</cp:coreProperties>
</file>